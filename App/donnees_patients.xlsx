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hugobaar3/Documents/Simulation/"/>
    </mc:Choice>
  </mc:AlternateContent>
  <xr:revisionPtr revIDLastSave="0" documentId="13_ncr:1_{A0AD1063-867B-FC40-91EE-CA34C08EE676}" xr6:coauthVersionLast="47" xr6:coauthVersionMax="47" xr10:uidLastSave="{00000000-0000-0000-0000-000000000000}"/>
  <bookViews>
    <workbookView xWindow="0" yWindow="660" windowWidth="29400" windowHeight="16940" xr2:uid="{26407453-1449-3840-92C2-C59E64D9820D}"/>
  </bookViews>
  <sheets>
    <sheet name="INTERVENTION ARM" sheetId="2" r:id="rId1"/>
    <sheet name="Results" sheetId="6" r:id="rId2"/>
  </sheets>
  <definedNames>
    <definedName name="_xlnm._FilterDatabase" localSheetId="0" hidden="1">'INTERVENTION ARM'!$W$36:$W$41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5" i="6" l="1"/>
  <c r="B21" i="6"/>
  <c r="C21" i="6"/>
  <c r="D21" i="6"/>
  <c r="E21" i="6"/>
  <c r="F21" i="6"/>
  <c r="G21" i="6"/>
  <c r="L21" i="6"/>
  <c r="M21" i="6" s="1"/>
  <c r="N21" i="6"/>
  <c r="O21" i="6" s="1"/>
  <c r="Q21" i="6"/>
  <c r="T21" i="6"/>
  <c r="U21" i="6"/>
  <c r="W21" i="6"/>
  <c r="T23" i="2" l="1"/>
  <c r="T24" i="2"/>
  <c r="T25" i="2"/>
  <c r="T26" i="2"/>
  <c r="T27" i="2"/>
  <c r="T22" i="2"/>
  <c r="U268" i="2"/>
  <c r="R2" i="6"/>
  <c r="R3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T2" i="6"/>
  <c r="T3" i="6"/>
  <c r="T4" i="6"/>
  <c r="T5" i="6"/>
  <c r="T6" i="6"/>
  <c r="T7" i="6"/>
  <c r="T8" i="6"/>
  <c r="T9" i="6"/>
  <c r="T10" i="6"/>
  <c r="T11" i="6"/>
  <c r="T12" i="6"/>
  <c r="T13" i="6"/>
  <c r="T14" i="6"/>
  <c r="T15" i="6"/>
  <c r="T16" i="6"/>
  <c r="T17" i="6"/>
  <c r="T18" i="6"/>
  <c r="T19" i="6"/>
  <c r="T20" i="6"/>
  <c r="Q20" i="6"/>
  <c r="Q19" i="6"/>
  <c r="Q18" i="6"/>
  <c r="Q17" i="6"/>
  <c r="Q16" i="6"/>
  <c r="Q15" i="6"/>
  <c r="Q14" i="6"/>
  <c r="Q13" i="6"/>
  <c r="Q12" i="6"/>
  <c r="Q11" i="6"/>
  <c r="Q10" i="6"/>
  <c r="Q9" i="6"/>
  <c r="Q8" i="6"/>
  <c r="Q7" i="6"/>
  <c r="Q6" i="6"/>
  <c r="Q5" i="6"/>
  <c r="Q4" i="6"/>
  <c r="Q3" i="6"/>
  <c r="Q2" i="6"/>
  <c r="W20" i="6"/>
  <c r="U20" i="6"/>
  <c r="P20" i="6"/>
  <c r="H20" i="6" s="1" a="1"/>
  <c r="H20" i="6" s="1"/>
  <c r="N20" i="6"/>
  <c r="O20" i="6" s="1"/>
  <c r="L20" i="6"/>
  <c r="M20" i="6" s="1"/>
  <c r="G20" i="6"/>
  <c r="F20" i="6"/>
  <c r="E20" i="6"/>
  <c r="D20" i="6"/>
  <c r="C20" i="6"/>
  <c r="B20" i="6"/>
  <c r="W19" i="6"/>
  <c r="U19" i="6"/>
  <c r="P19" i="6"/>
  <c r="H19" i="6" s="1" a="1"/>
  <c r="H19" i="6" s="1"/>
  <c r="N19" i="6"/>
  <c r="O19" i="6" s="1"/>
  <c r="L19" i="6"/>
  <c r="M19" i="6" s="1"/>
  <c r="G19" i="6"/>
  <c r="F19" i="6"/>
  <c r="E19" i="6"/>
  <c r="D19" i="6"/>
  <c r="C19" i="6"/>
  <c r="B19" i="6"/>
  <c r="W18" i="6"/>
  <c r="U18" i="6"/>
  <c r="P18" i="6"/>
  <c r="H18" i="6" s="1" a="1"/>
  <c r="H18" i="6" s="1"/>
  <c r="N18" i="6"/>
  <c r="O18" i="6" s="1"/>
  <c r="L18" i="6"/>
  <c r="M18" i="6" s="1"/>
  <c r="G18" i="6"/>
  <c r="F18" i="6"/>
  <c r="E18" i="6"/>
  <c r="D18" i="6"/>
  <c r="C18" i="6"/>
  <c r="B18" i="6"/>
  <c r="W17" i="6"/>
  <c r="U17" i="6"/>
  <c r="P17" i="6"/>
  <c r="H17" i="6" s="1" a="1"/>
  <c r="H17" i="6" s="1"/>
  <c r="N17" i="6"/>
  <c r="O17" i="6" s="1"/>
  <c r="L17" i="6"/>
  <c r="M17" i="6" s="1"/>
  <c r="G17" i="6"/>
  <c r="F17" i="6"/>
  <c r="E17" i="6"/>
  <c r="D17" i="6"/>
  <c r="C17" i="6"/>
  <c r="B17" i="6"/>
  <c r="W16" i="6"/>
  <c r="U16" i="6"/>
  <c r="P16" i="6"/>
  <c r="H16" i="6" s="1" a="1"/>
  <c r="H16" i="6" s="1"/>
  <c r="N16" i="6"/>
  <c r="O16" i="6" s="1"/>
  <c r="L16" i="6"/>
  <c r="M16" i="6" s="1"/>
  <c r="G16" i="6"/>
  <c r="F16" i="6"/>
  <c r="E16" i="6"/>
  <c r="D16" i="6"/>
  <c r="C16" i="6"/>
  <c r="B16" i="6"/>
  <c r="W15" i="6"/>
  <c r="U15" i="6"/>
  <c r="P15" i="6"/>
  <c r="H15" i="6" s="1" a="1"/>
  <c r="H15" i="6" s="1"/>
  <c r="N15" i="6"/>
  <c r="O15" i="6" s="1"/>
  <c r="L15" i="6"/>
  <c r="M15" i="6" s="1"/>
  <c r="G15" i="6"/>
  <c r="F15" i="6"/>
  <c r="E15" i="6"/>
  <c r="D15" i="6"/>
  <c r="C15" i="6"/>
  <c r="B15" i="6"/>
  <c r="W14" i="6"/>
  <c r="U14" i="6"/>
  <c r="P14" i="6"/>
  <c r="H14" i="6" s="1" a="1"/>
  <c r="H14" i="6" s="1"/>
  <c r="N14" i="6"/>
  <c r="O14" i="6" s="1"/>
  <c r="L14" i="6"/>
  <c r="M14" i="6" s="1"/>
  <c r="G14" i="6"/>
  <c r="F14" i="6"/>
  <c r="E14" i="6"/>
  <c r="D14" i="6"/>
  <c r="C14" i="6"/>
  <c r="B14" i="6"/>
  <c r="W13" i="6"/>
  <c r="U13" i="6"/>
  <c r="P13" i="6"/>
  <c r="H13" i="6" s="1" a="1"/>
  <c r="H13" i="6" s="1"/>
  <c r="N13" i="6"/>
  <c r="O13" i="6" s="1"/>
  <c r="L13" i="6"/>
  <c r="M13" i="6" s="1"/>
  <c r="G13" i="6"/>
  <c r="F13" i="6"/>
  <c r="E13" i="6"/>
  <c r="D13" i="6"/>
  <c r="C13" i="6"/>
  <c r="B13" i="6"/>
  <c r="W12" i="6"/>
  <c r="U12" i="6"/>
  <c r="P12" i="6"/>
  <c r="H12" i="6" s="1" a="1"/>
  <c r="H12" i="6" s="1"/>
  <c r="N12" i="6"/>
  <c r="O12" i="6" s="1"/>
  <c r="L12" i="6"/>
  <c r="M12" i="6" s="1"/>
  <c r="G12" i="6"/>
  <c r="F12" i="6"/>
  <c r="E12" i="6"/>
  <c r="D12" i="6"/>
  <c r="C12" i="6"/>
  <c r="B12" i="6"/>
  <c r="W11" i="6"/>
  <c r="U11" i="6"/>
  <c r="P11" i="6"/>
  <c r="H11" i="6" s="1" a="1"/>
  <c r="H11" i="6" s="1"/>
  <c r="N11" i="6"/>
  <c r="O11" i="6" s="1"/>
  <c r="L11" i="6"/>
  <c r="M11" i="6" s="1"/>
  <c r="G11" i="6"/>
  <c r="F11" i="6"/>
  <c r="E11" i="6"/>
  <c r="D11" i="6"/>
  <c r="C11" i="6"/>
  <c r="B11" i="6"/>
  <c r="W10" i="6"/>
  <c r="U10" i="6"/>
  <c r="P10" i="6"/>
  <c r="H10" i="6" s="1" a="1"/>
  <c r="H10" i="6" s="1"/>
  <c r="N10" i="6"/>
  <c r="O10" i="6" s="1"/>
  <c r="L10" i="6"/>
  <c r="M10" i="6" s="1"/>
  <c r="G10" i="6"/>
  <c r="F10" i="6"/>
  <c r="E10" i="6"/>
  <c r="D10" i="6"/>
  <c r="C10" i="6"/>
  <c r="B10" i="6"/>
  <c r="W9" i="6"/>
  <c r="U9" i="6"/>
  <c r="P9" i="6"/>
  <c r="H9" i="6" s="1" a="1"/>
  <c r="H9" i="6" s="1"/>
  <c r="N9" i="6"/>
  <c r="O9" i="6" s="1"/>
  <c r="L9" i="6"/>
  <c r="M9" i="6" s="1"/>
  <c r="G9" i="6"/>
  <c r="F9" i="6"/>
  <c r="E9" i="6"/>
  <c r="D9" i="6"/>
  <c r="C9" i="6"/>
  <c r="B9" i="6"/>
  <c r="W8" i="6"/>
  <c r="U8" i="6"/>
  <c r="P8" i="6"/>
  <c r="H8" i="6" s="1" a="1"/>
  <c r="H8" i="6" s="1"/>
  <c r="N8" i="6"/>
  <c r="O8" i="6" s="1"/>
  <c r="L8" i="6"/>
  <c r="M8" i="6" s="1"/>
  <c r="G8" i="6"/>
  <c r="F8" i="6"/>
  <c r="E8" i="6"/>
  <c r="D8" i="6"/>
  <c r="C8" i="6"/>
  <c r="B8" i="6"/>
  <c r="W7" i="6"/>
  <c r="U7" i="6"/>
  <c r="P7" i="6"/>
  <c r="H7" i="6" s="1" a="1"/>
  <c r="H7" i="6" s="1"/>
  <c r="N7" i="6"/>
  <c r="O7" i="6" s="1"/>
  <c r="L7" i="6"/>
  <c r="M7" i="6" s="1"/>
  <c r="G7" i="6"/>
  <c r="F7" i="6"/>
  <c r="E7" i="6"/>
  <c r="D7" i="6"/>
  <c r="C7" i="6"/>
  <c r="B7" i="6"/>
  <c r="W6" i="6"/>
  <c r="U6" i="6"/>
  <c r="P6" i="6"/>
  <c r="H6" i="6" s="1" a="1"/>
  <c r="H6" i="6" s="1"/>
  <c r="N6" i="6"/>
  <c r="O6" i="6" s="1"/>
  <c r="L6" i="6"/>
  <c r="M6" i="6" s="1"/>
  <c r="G6" i="6"/>
  <c r="F6" i="6"/>
  <c r="E6" i="6"/>
  <c r="D6" i="6"/>
  <c r="C6" i="6"/>
  <c r="B6" i="6"/>
  <c r="W5" i="6"/>
  <c r="U5" i="6"/>
  <c r="P5" i="6"/>
  <c r="H5" i="6" s="1" a="1"/>
  <c r="H5" i="6" s="1"/>
  <c r="N5" i="6"/>
  <c r="O5" i="6" s="1"/>
  <c r="L5" i="6"/>
  <c r="M5" i="6" s="1"/>
  <c r="G5" i="6"/>
  <c r="F5" i="6"/>
  <c r="E5" i="6"/>
  <c r="D5" i="6"/>
  <c r="C5" i="6"/>
  <c r="B5" i="6"/>
  <c r="W4" i="6"/>
  <c r="U4" i="6"/>
  <c r="P4" i="6"/>
  <c r="H4" i="6" s="1" a="1"/>
  <c r="H4" i="6" s="1"/>
  <c r="N4" i="6"/>
  <c r="O4" i="6" s="1"/>
  <c r="L4" i="6"/>
  <c r="M4" i="6" s="1"/>
  <c r="G4" i="6"/>
  <c r="F4" i="6"/>
  <c r="E4" i="6"/>
  <c r="D4" i="6"/>
  <c r="C4" i="6"/>
  <c r="B4" i="6"/>
  <c r="W3" i="6"/>
  <c r="U3" i="6"/>
  <c r="P3" i="6"/>
  <c r="H3" i="6" s="1" a="1"/>
  <c r="H3" i="6" s="1"/>
  <c r="N3" i="6"/>
  <c r="O3" i="6" s="1"/>
  <c r="L3" i="6"/>
  <c r="M3" i="6" s="1"/>
  <c r="G3" i="6"/>
  <c r="F3" i="6"/>
  <c r="E3" i="6"/>
  <c r="D3" i="6"/>
  <c r="C3" i="6"/>
  <c r="B3" i="6"/>
  <c r="W2" i="6"/>
  <c r="U2" i="6"/>
  <c r="P2" i="6"/>
  <c r="H2" i="6" s="1" a="1"/>
  <c r="H2" i="6" s="1"/>
  <c r="N2" i="6"/>
  <c r="O2" i="6" s="1"/>
  <c r="L2" i="6"/>
  <c r="M2" i="6" s="1"/>
  <c r="G2" i="6"/>
  <c r="F2" i="6"/>
  <c r="E2" i="6"/>
  <c r="D2" i="6"/>
  <c r="C2" i="6"/>
  <c r="B2" i="6"/>
  <c r="AE21" i="2"/>
  <c r="Z25" i="2"/>
  <c r="I20" i="6" l="1" a="1"/>
  <c r="I20" i="6" s="1"/>
  <c r="K20" i="6" s="1"/>
  <c r="S20" i="6" s="1"/>
  <c r="I13" i="6" a="1"/>
  <c r="I13" i="6" s="1"/>
  <c r="K13" i="6" s="1"/>
  <c r="S13" i="6" s="1"/>
  <c r="I17" i="6" a="1"/>
  <c r="I17" i="6" s="1"/>
  <c r="K17" i="6" s="1"/>
  <c r="S17" i="6" s="1"/>
  <c r="I9" i="6" a="1"/>
  <c r="I9" i="6" s="1"/>
  <c r="K9" i="6" s="1"/>
  <c r="S9" i="6" s="1"/>
  <c r="I5" i="6" a="1"/>
  <c r="I5" i="6" s="1"/>
  <c r="K5" i="6" s="1"/>
  <c r="S5" i="6" s="1"/>
  <c r="I16" i="6" a="1"/>
  <c r="I16" i="6" s="1"/>
  <c r="K16" i="6" s="1"/>
  <c r="S16" i="6" s="1"/>
  <c r="I12" i="6" a="1"/>
  <c r="I12" i="6" s="1"/>
  <c r="K12" i="6" s="1"/>
  <c r="S12" i="6" s="1"/>
  <c r="I8" i="6" a="1"/>
  <c r="I8" i="6" s="1"/>
  <c r="K8" i="6" s="1"/>
  <c r="S8" i="6" s="1"/>
  <c r="I4" i="6" a="1"/>
  <c r="I4" i="6" s="1"/>
  <c r="K4" i="6" s="1"/>
  <c r="S4" i="6" s="1"/>
  <c r="I19" i="6" a="1"/>
  <c r="I19" i="6" s="1"/>
  <c r="K19" i="6" s="1"/>
  <c r="S19" i="6" s="1"/>
  <c r="I15" i="6" a="1"/>
  <c r="I15" i="6" s="1"/>
  <c r="K15" i="6" s="1"/>
  <c r="S15" i="6" s="1"/>
  <c r="I11" i="6" a="1"/>
  <c r="I11" i="6" s="1"/>
  <c r="K11" i="6" s="1"/>
  <c r="S11" i="6" s="1"/>
  <c r="I7" i="6" a="1"/>
  <c r="I7" i="6" s="1"/>
  <c r="K7" i="6" s="1"/>
  <c r="S7" i="6" s="1"/>
  <c r="I3" i="6" a="1"/>
  <c r="I3" i="6" s="1"/>
  <c r="K3" i="6" s="1"/>
  <c r="S3" i="6" s="1"/>
  <c r="I18" i="6" a="1"/>
  <c r="I18" i="6" s="1"/>
  <c r="K18" i="6" s="1"/>
  <c r="S18" i="6" s="1"/>
  <c r="I14" i="6" a="1"/>
  <c r="I14" i="6" s="1"/>
  <c r="K14" i="6" s="1"/>
  <c r="S14" i="6" s="1"/>
  <c r="I10" i="6" a="1"/>
  <c r="I10" i="6" s="1"/>
  <c r="K10" i="6" s="1"/>
  <c r="S10" i="6" s="1"/>
  <c r="I6" i="6" a="1"/>
  <c r="I6" i="6" s="1"/>
  <c r="K6" i="6" s="1"/>
  <c r="S6" i="6" s="1"/>
  <c r="I2" i="6" a="1"/>
  <c r="I2" i="6" s="1"/>
  <c r="K2" i="6" s="1"/>
  <c r="S2" i="6" s="1"/>
  <c r="J17" i="6" a="1"/>
  <c r="J17" i="6" s="1"/>
  <c r="J13" i="6" a="1"/>
  <c r="J13" i="6" s="1"/>
  <c r="J9" i="6" a="1"/>
  <c r="J9" i="6" s="1"/>
  <c r="J5" i="6" a="1"/>
  <c r="J5" i="6" s="1"/>
  <c r="J20" i="6" a="1"/>
  <c r="J20" i="6" s="1"/>
  <c r="J16" i="6" a="1"/>
  <c r="J16" i="6" s="1"/>
  <c r="J12" i="6" a="1"/>
  <c r="J12" i="6" s="1"/>
  <c r="J8" i="6" a="1"/>
  <c r="J8" i="6" s="1"/>
  <c r="J4" i="6" a="1"/>
  <c r="J4" i="6" s="1"/>
  <c r="J19" i="6" a="1"/>
  <c r="J19" i="6" s="1"/>
  <c r="J15" i="6" a="1"/>
  <c r="J15" i="6" s="1"/>
  <c r="J11" i="6" a="1"/>
  <c r="J11" i="6" s="1"/>
  <c r="J7" i="6" a="1"/>
  <c r="J7" i="6" s="1"/>
  <c r="J3" i="6" a="1"/>
  <c r="J3" i="6" s="1"/>
  <c r="J18" i="6" a="1"/>
  <c r="J18" i="6" s="1"/>
  <c r="J14" i="6" a="1"/>
  <c r="J14" i="6" s="1"/>
  <c r="J10" i="6" a="1"/>
  <c r="J10" i="6" s="1"/>
  <c r="J6" i="6" a="1"/>
  <c r="J6" i="6" s="1"/>
  <c r="J2" i="6" a="1"/>
  <c r="J2" i="6" s="1"/>
  <c r="Q212" i="2"/>
  <c r="R212" i="2" s="1"/>
  <c r="R211" i="2"/>
  <c r="V2" i="6" l="1"/>
  <c r="V13" i="6"/>
  <c r="V15" i="6"/>
  <c r="V6" i="6"/>
  <c r="V19" i="6"/>
  <c r="V11" i="6"/>
  <c r="V17" i="6"/>
  <c r="V7" i="6"/>
  <c r="V10" i="6"/>
  <c r="V9" i="6"/>
  <c r="V20" i="6"/>
  <c r="V4" i="6"/>
  <c r="V8" i="6"/>
  <c r="V18" i="6"/>
  <c r="V12" i="6"/>
  <c r="V5" i="6"/>
  <c r="V14" i="6"/>
  <c r="V3" i="6"/>
  <c r="V16" i="6"/>
  <c r="Q213" i="2"/>
  <c r="Q214" i="2"/>
  <c r="R213" i="2"/>
  <c r="Q215" i="2" l="1"/>
  <c r="R214" i="2"/>
  <c r="R215" i="2" l="1"/>
  <c r="Q216" i="2"/>
  <c r="R216" i="2" l="1"/>
  <c r="Z32" i="2" l="1"/>
  <c r="R176" i="2"/>
  <c r="Q177" i="2"/>
  <c r="F182" i="2"/>
  <c r="H182" i="2"/>
  <c r="R183" i="2"/>
  <c r="Q184" i="2"/>
  <c r="Q185" i="2" s="1"/>
  <c r="Q186" i="2" s="1"/>
  <c r="R190" i="2"/>
  <c r="Q191" i="2"/>
  <c r="F196" i="2"/>
  <c r="J193" i="2" s="1"/>
  <c r="H196" i="2"/>
  <c r="R197" i="2"/>
  <c r="Q198" i="2"/>
  <c r="R204" i="2"/>
  <c r="Q205" i="2"/>
  <c r="R205" i="2" s="1"/>
  <c r="F210" i="2"/>
  <c r="J207" i="2" s="1"/>
  <c r="U204" i="2" s="1"/>
  <c r="H210" i="2"/>
  <c r="R218" i="2"/>
  <c r="Q219" i="2"/>
  <c r="Q220" i="2" s="1"/>
  <c r="R220" i="2" s="1"/>
  <c r="F224" i="2"/>
  <c r="J221" i="2" s="1"/>
  <c r="H224" i="2"/>
  <c r="R225" i="2"/>
  <c r="Q226" i="2"/>
  <c r="R232" i="2"/>
  <c r="Q233" i="2"/>
  <c r="F238" i="2"/>
  <c r="J235" i="2" s="1"/>
  <c r="W237" i="2" s="1"/>
  <c r="H238" i="2"/>
  <c r="R239" i="2"/>
  <c r="Q240" i="2"/>
  <c r="R246" i="2"/>
  <c r="Q247" i="2"/>
  <c r="R247" i="2" s="1"/>
  <c r="F252" i="2"/>
  <c r="J256" i="2" s="1"/>
  <c r="H252" i="2"/>
  <c r="R253" i="2"/>
  <c r="Q254" i="2"/>
  <c r="R260" i="2"/>
  <c r="Q261" i="2"/>
  <c r="Q262" i="2" s="1"/>
  <c r="Q263" i="2" s="1"/>
  <c r="F266" i="2"/>
  <c r="H266" i="2"/>
  <c r="R267" i="2"/>
  <c r="Q268" i="2"/>
  <c r="R274" i="2"/>
  <c r="Q275" i="2"/>
  <c r="Q276" i="2" s="1"/>
  <c r="R276" i="2" s="1"/>
  <c r="F280" i="2"/>
  <c r="J277" i="2" s="1"/>
  <c r="W278" i="2" s="1"/>
  <c r="H280" i="2"/>
  <c r="R281" i="2"/>
  <c r="Q282" i="2"/>
  <c r="Q289" i="2"/>
  <c r="Q290" i="2" s="1"/>
  <c r="R290" i="2" s="1"/>
  <c r="F294" i="2"/>
  <c r="J298" i="2" s="1"/>
  <c r="H294" i="2"/>
  <c r="R295" i="2"/>
  <c r="Q296" i="2"/>
  <c r="R296" i="2" s="1"/>
  <c r="R302" i="2"/>
  <c r="Q303" i="2"/>
  <c r="F308" i="2"/>
  <c r="J312" i="2" s="1"/>
  <c r="H308" i="2"/>
  <c r="R309" i="2"/>
  <c r="Q310" i="2"/>
  <c r="R310" i="2" s="1"/>
  <c r="R316" i="2"/>
  <c r="Q317" i="2"/>
  <c r="F322" i="2"/>
  <c r="J326" i="2" s="1"/>
  <c r="H322" i="2"/>
  <c r="R323" i="2"/>
  <c r="U323" i="2" s="1"/>
  <c r="Q324" i="2"/>
  <c r="R330" i="2"/>
  <c r="Q331" i="2"/>
  <c r="F336" i="2"/>
  <c r="H336" i="2"/>
  <c r="R337" i="2"/>
  <c r="Q338" i="2"/>
  <c r="R344" i="2"/>
  <c r="Q345" i="2"/>
  <c r="Q346" i="2" s="1"/>
  <c r="F350" i="2"/>
  <c r="J347" i="2" s="1"/>
  <c r="W345" i="2" s="1"/>
  <c r="H350" i="2"/>
  <c r="R351" i="2"/>
  <c r="Q352" i="2"/>
  <c r="R358" i="2"/>
  <c r="Q359" i="2"/>
  <c r="R359" i="2" s="1"/>
  <c r="F364" i="2"/>
  <c r="H364" i="2"/>
  <c r="R365" i="2"/>
  <c r="Q366" i="2"/>
  <c r="R366" i="2" s="1"/>
  <c r="R372" i="2"/>
  <c r="Q373" i="2"/>
  <c r="Q374" i="2" s="1"/>
  <c r="F378" i="2"/>
  <c r="J375" i="2" s="1"/>
  <c r="W375" i="2" s="1"/>
  <c r="H378" i="2"/>
  <c r="R379" i="2"/>
  <c r="Q380" i="2"/>
  <c r="R386" i="2"/>
  <c r="Q387" i="2"/>
  <c r="Q388" i="2" s="1"/>
  <c r="F392" i="2"/>
  <c r="H392" i="2"/>
  <c r="R393" i="2"/>
  <c r="Q394" i="2"/>
  <c r="R400" i="2"/>
  <c r="Q401" i="2"/>
  <c r="F406" i="2"/>
  <c r="J403" i="2" s="1"/>
  <c r="W405" i="2" s="1"/>
  <c r="H406" i="2"/>
  <c r="R407" i="2"/>
  <c r="Q408" i="2"/>
  <c r="R408" i="2" s="1"/>
  <c r="R414" i="2"/>
  <c r="Q415" i="2"/>
  <c r="Q416" i="2" s="1"/>
  <c r="Q417" i="2" s="1"/>
  <c r="Q418" i="2" s="1"/>
  <c r="R418" i="2" s="1"/>
  <c r="F420" i="2"/>
  <c r="J417" i="2" s="1"/>
  <c r="H420" i="2"/>
  <c r="R421" i="2"/>
  <c r="Q422" i="2"/>
  <c r="R422" i="2" s="1"/>
  <c r="R428" i="2"/>
  <c r="Q429" i="2"/>
  <c r="Q430" i="2" s="1"/>
  <c r="Q431" i="2" s="1"/>
  <c r="R430" i="2"/>
  <c r="F434" i="2"/>
  <c r="J431" i="2" s="1"/>
  <c r="V428" i="2" s="1"/>
  <c r="H434" i="2"/>
  <c r="R435" i="2"/>
  <c r="Q436" i="2"/>
  <c r="R436" i="2" s="1"/>
  <c r="R442" i="2"/>
  <c r="Q443" i="2"/>
  <c r="Q444" i="2" s="1"/>
  <c r="R444" i="2" s="1"/>
  <c r="R443" i="2"/>
  <c r="F448" i="2"/>
  <c r="H448" i="2"/>
  <c r="R449" i="2"/>
  <c r="Q450" i="2"/>
  <c r="Q451" i="2" s="1"/>
  <c r="R451" i="2" s="1"/>
  <c r="R456" i="2"/>
  <c r="Q457" i="2"/>
  <c r="Q458" i="2" s="1"/>
  <c r="F462" i="2"/>
  <c r="J459" i="2" s="1"/>
  <c r="H462" i="2"/>
  <c r="R463" i="2"/>
  <c r="Q464" i="2"/>
  <c r="Q465" i="2" s="1"/>
  <c r="R470" i="2"/>
  <c r="Q471" i="2"/>
  <c r="F476" i="2"/>
  <c r="H476" i="2"/>
  <c r="R477" i="2"/>
  <c r="Q478" i="2"/>
  <c r="Q479" i="2" s="1"/>
  <c r="R478" i="2"/>
  <c r="R484" i="2"/>
  <c r="Q485" i="2"/>
  <c r="R485" i="2" s="1"/>
  <c r="F490" i="2"/>
  <c r="J487" i="2" s="1"/>
  <c r="H490" i="2"/>
  <c r="R491" i="2"/>
  <c r="Q492" i="2"/>
  <c r="R498" i="2"/>
  <c r="Q499" i="2"/>
  <c r="Q500" i="2" s="1"/>
  <c r="F504" i="2"/>
  <c r="H504" i="2"/>
  <c r="R505" i="2"/>
  <c r="Q506" i="2"/>
  <c r="R512" i="2"/>
  <c r="Q513" i="2"/>
  <c r="F518" i="2"/>
  <c r="H518" i="2"/>
  <c r="R519" i="2"/>
  <c r="Q520" i="2"/>
  <c r="R526" i="2"/>
  <c r="Q527" i="2"/>
  <c r="Q528" i="2" s="1"/>
  <c r="F532" i="2"/>
  <c r="H532" i="2"/>
  <c r="R533" i="2"/>
  <c r="Q534" i="2"/>
  <c r="Q535" i="2" s="1"/>
  <c r="R540" i="2"/>
  <c r="Q541" i="2"/>
  <c r="R541" i="2" s="1"/>
  <c r="F546" i="2"/>
  <c r="H546" i="2"/>
  <c r="R547" i="2"/>
  <c r="Q548" i="2"/>
  <c r="R548" i="2" s="1"/>
  <c r="R554" i="2"/>
  <c r="Q555" i="2"/>
  <c r="F560" i="2"/>
  <c r="H560" i="2"/>
  <c r="R561" i="2"/>
  <c r="Q562" i="2"/>
  <c r="Q563" i="2" s="1"/>
  <c r="R568" i="2"/>
  <c r="Q569" i="2"/>
  <c r="F574" i="2"/>
  <c r="H574" i="2"/>
  <c r="R575" i="2"/>
  <c r="Q576" i="2"/>
  <c r="R582" i="2"/>
  <c r="Q583" i="2"/>
  <c r="F588" i="2"/>
  <c r="H588" i="2"/>
  <c r="R589" i="2"/>
  <c r="Q590" i="2"/>
  <c r="R590" i="2" s="1"/>
  <c r="R596" i="2"/>
  <c r="Q597" i="2"/>
  <c r="Q598" i="2" s="1"/>
  <c r="R598" i="2" s="1"/>
  <c r="F602" i="2"/>
  <c r="J606" i="2" s="1"/>
  <c r="V603" i="2" s="1"/>
  <c r="H602" i="2"/>
  <c r="R603" i="2"/>
  <c r="U603" i="2" s="1"/>
  <c r="Q604" i="2"/>
  <c r="R610" i="2"/>
  <c r="Q611" i="2"/>
  <c r="F616" i="2"/>
  <c r="H616" i="2"/>
  <c r="R617" i="2"/>
  <c r="Q618" i="2"/>
  <c r="R624" i="2"/>
  <c r="Q625" i="2"/>
  <c r="F630" i="2"/>
  <c r="J634" i="2" s="1"/>
  <c r="H630" i="2"/>
  <c r="R631" i="2"/>
  <c r="Q632" i="2"/>
  <c r="R638" i="2"/>
  <c r="Q639" i="2"/>
  <c r="F644" i="2"/>
  <c r="J641" i="2" s="1"/>
  <c r="H644" i="2"/>
  <c r="R645" i="2"/>
  <c r="Q646" i="2"/>
  <c r="R652" i="2"/>
  <c r="Q653" i="2"/>
  <c r="F658" i="2"/>
  <c r="H658" i="2"/>
  <c r="R659" i="2"/>
  <c r="Q660" i="2"/>
  <c r="R660" i="2" s="1"/>
  <c r="Q661" i="2"/>
  <c r="R666" i="2"/>
  <c r="Q667" i="2"/>
  <c r="Q668" i="2" s="1"/>
  <c r="R668" i="2" s="1"/>
  <c r="F672" i="2"/>
  <c r="H672" i="2"/>
  <c r="R673" i="2"/>
  <c r="Q674" i="2"/>
  <c r="R680" i="2"/>
  <c r="Q681" i="2"/>
  <c r="R681" i="2" s="1"/>
  <c r="F686" i="2"/>
  <c r="H686" i="2"/>
  <c r="R687" i="2"/>
  <c r="Q688" i="2"/>
  <c r="R162" i="2"/>
  <c r="Q163" i="2"/>
  <c r="Q164" i="2" s="1"/>
  <c r="F168" i="2"/>
  <c r="J172" i="2" s="1"/>
  <c r="H168" i="2"/>
  <c r="R169" i="2"/>
  <c r="Q170" i="2"/>
  <c r="Q171" i="2" s="1"/>
  <c r="Q156" i="2"/>
  <c r="R156" i="2" s="1"/>
  <c r="R155" i="2"/>
  <c r="H154" i="2"/>
  <c r="F154" i="2"/>
  <c r="J158" i="2" s="1"/>
  <c r="Q149" i="2"/>
  <c r="R149" i="2" s="1"/>
  <c r="R148" i="2"/>
  <c r="R99" i="2"/>
  <c r="R106" i="2"/>
  <c r="R113" i="2"/>
  <c r="R120" i="2"/>
  <c r="R127" i="2"/>
  <c r="R134" i="2"/>
  <c r="R141" i="2"/>
  <c r="R92" i="2"/>
  <c r="R85" i="2"/>
  <c r="R78" i="2"/>
  <c r="R71" i="2"/>
  <c r="R64" i="2"/>
  <c r="R57" i="2"/>
  <c r="R50" i="2"/>
  <c r="R43" i="2"/>
  <c r="Q549" i="2" l="1"/>
  <c r="U276" i="2"/>
  <c r="U430" i="2"/>
  <c r="Q437" i="2"/>
  <c r="Q438" i="2" s="1"/>
  <c r="V438" i="2" s="1"/>
  <c r="R534" i="2"/>
  <c r="W634" i="2"/>
  <c r="R233" i="2"/>
  <c r="Q234" i="2"/>
  <c r="Q235" i="2" s="1"/>
  <c r="V235" i="2" s="1"/>
  <c r="U309" i="2"/>
  <c r="U310" i="2"/>
  <c r="Q283" i="2"/>
  <c r="R283" i="2" s="1"/>
  <c r="R282" i="2"/>
  <c r="U456" i="2"/>
  <c r="U631" i="2"/>
  <c r="U638" i="2"/>
  <c r="R254" i="2"/>
  <c r="Q255" i="2"/>
  <c r="U254" i="2"/>
  <c r="U253" i="2"/>
  <c r="Q591" i="2"/>
  <c r="Q592" i="2" s="1"/>
  <c r="J557" i="2"/>
  <c r="W559" i="2" s="1"/>
  <c r="J564" i="2"/>
  <c r="V562" i="2" s="1"/>
  <c r="U484" i="2"/>
  <c r="U485" i="2"/>
  <c r="U414" i="2"/>
  <c r="U274" i="2"/>
  <c r="R464" i="2"/>
  <c r="Q367" i="2"/>
  <c r="Q368" i="2" s="1"/>
  <c r="U401" i="2"/>
  <c r="J382" i="2"/>
  <c r="W380" i="2" s="1"/>
  <c r="U428" i="2"/>
  <c r="U418" i="2"/>
  <c r="U400" i="2"/>
  <c r="U372" i="2"/>
  <c r="U344" i="2"/>
  <c r="U233" i="2"/>
  <c r="W233" i="2"/>
  <c r="U232" i="2"/>
  <c r="U220" i="2"/>
  <c r="U218" i="2"/>
  <c r="U205" i="2"/>
  <c r="U190" i="2"/>
  <c r="R431" i="2"/>
  <c r="U431" i="2" s="1"/>
  <c r="Q432" i="2"/>
  <c r="V432" i="2" s="1"/>
  <c r="J627" i="2"/>
  <c r="W629" i="2" s="1"/>
  <c r="Q445" i="2"/>
  <c r="Q297" i="2"/>
  <c r="Q298" i="2" s="1"/>
  <c r="V298" i="2" s="1"/>
  <c r="V219" i="2"/>
  <c r="W608" i="2"/>
  <c r="W403" i="2"/>
  <c r="W373" i="2"/>
  <c r="Q360" i="2"/>
  <c r="R360" i="2" s="1"/>
  <c r="J242" i="2"/>
  <c r="J494" i="2"/>
  <c r="V492" i="2" s="1"/>
  <c r="W603" i="2"/>
  <c r="J438" i="2"/>
  <c r="V430" i="2"/>
  <c r="R415" i="2"/>
  <c r="U415" i="2" s="1"/>
  <c r="W401" i="2"/>
  <c r="R163" i="2"/>
  <c r="J571" i="2"/>
  <c r="W570" i="2" s="1"/>
  <c r="J578" i="2"/>
  <c r="W577" i="2" s="1"/>
  <c r="R394" i="2"/>
  <c r="Q395" i="2"/>
  <c r="R625" i="2"/>
  <c r="Q626" i="2"/>
  <c r="Q627" i="2" s="1"/>
  <c r="V414" i="2"/>
  <c r="W418" i="2"/>
  <c r="W220" i="2"/>
  <c r="W633" i="2"/>
  <c r="Q542" i="2"/>
  <c r="R527" i="2"/>
  <c r="W419" i="2"/>
  <c r="J305" i="2"/>
  <c r="W303" i="2" s="1"/>
  <c r="R289" i="2"/>
  <c r="W219" i="2"/>
  <c r="J690" i="2"/>
  <c r="V687" i="2" s="1"/>
  <c r="J683" i="2"/>
  <c r="W684" i="2" s="1"/>
  <c r="Q647" i="2"/>
  <c r="R646" i="2"/>
  <c r="J389" i="2"/>
  <c r="W386" i="2" s="1"/>
  <c r="J396" i="2"/>
  <c r="W395" i="2" s="1"/>
  <c r="V323" i="2"/>
  <c r="W323" i="2"/>
  <c r="J424" i="2"/>
  <c r="W423" i="2" s="1"/>
  <c r="W414" i="2"/>
  <c r="J333" i="2"/>
  <c r="J340" i="2"/>
  <c r="Q150" i="2"/>
  <c r="Q151" i="2" s="1"/>
  <c r="R151" i="2" s="1"/>
  <c r="W643" i="2"/>
  <c r="V457" i="2"/>
  <c r="V373" i="2"/>
  <c r="J151" i="2"/>
  <c r="U148" i="2" s="1"/>
  <c r="V485" i="2"/>
  <c r="Q486" i="2"/>
  <c r="Q487" i="2" s="1"/>
  <c r="V487" i="2" s="1"/>
  <c r="R457" i="2"/>
  <c r="U457" i="2" s="1"/>
  <c r="Q409" i="2"/>
  <c r="R409" i="2" s="1"/>
  <c r="R373" i="2"/>
  <c r="U373" i="2" s="1"/>
  <c r="R345" i="2"/>
  <c r="U345" i="2" s="1"/>
  <c r="Q669" i="2"/>
  <c r="R669" i="2" s="1"/>
  <c r="Q452" i="2"/>
  <c r="Q453" i="2" s="1"/>
  <c r="V429" i="2"/>
  <c r="R262" i="2"/>
  <c r="R219" i="2"/>
  <c r="U219" i="2" s="1"/>
  <c r="Q682" i="2"/>
  <c r="R667" i="2"/>
  <c r="R499" i="2"/>
  <c r="R429" i="2"/>
  <c r="U429" i="2" s="1"/>
  <c r="R275" i="2"/>
  <c r="U275" i="2" s="1"/>
  <c r="R261" i="2"/>
  <c r="Q248" i="2"/>
  <c r="Q249" i="2" s="1"/>
  <c r="W404" i="2"/>
  <c r="J214" i="2"/>
  <c r="Q206" i="2"/>
  <c r="Q207" i="2" s="1"/>
  <c r="R170" i="2"/>
  <c r="U170" i="2" s="1"/>
  <c r="Q514" i="2"/>
  <c r="Q515" i="2" s="1"/>
  <c r="R513" i="2"/>
  <c r="V204" i="2"/>
  <c r="W209" i="2"/>
  <c r="W204" i="2"/>
  <c r="R528" i="2"/>
  <c r="Q529" i="2"/>
  <c r="R604" i="2"/>
  <c r="U604" i="2" s="1"/>
  <c r="Q605" i="2"/>
  <c r="Q550" i="2"/>
  <c r="R550" i="2" s="1"/>
  <c r="R549" i="2"/>
  <c r="R479" i="2"/>
  <c r="Q480" i="2"/>
  <c r="R401" i="2"/>
  <c r="V401" i="2"/>
  <c r="Q402" i="2"/>
  <c r="V402" i="2" s="1"/>
  <c r="R206" i="2"/>
  <c r="U206" i="2" s="1"/>
  <c r="R380" i="2"/>
  <c r="V380" i="2"/>
  <c r="Q381" i="2"/>
  <c r="Q318" i="2"/>
  <c r="Q319" i="2" s="1"/>
  <c r="R317" i="2"/>
  <c r="Q689" i="2"/>
  <c r="R688" i="2"/>
  <c r="Q662" i="2"/>
  <c r="R662" i="2" s="1"/>
  <c r="R661" i="2"/>
  <c r="R611" i="2"/>
  <c r="Q612" i="2"/>
  <c r="J648" i="2"/>
  <c r="V647" i="2" s="1"/>
  <c r="V639" i="2"/>
  <c r="Q633" i="2"/>
  <c r="R633" i="2" s="1"/>
  <c r="U633" i="2" s="1"/>
  <c r="R632" i="2"/>
  <c r="U632" i="2" s="1"/>
  <c r="Q325" i="2"/>
  <c r="R325" i="2" s="1"/>
  <c r="U325" i="2" s="1"/>
  <c r="R324" i="2"/>
  <c r="U324" i="2" s="1"/>
  <c r="Q640" i="2"/>
  <c r="V640" i="2" s="1"/>
  <c r="R639" i="2"/>
  <c r="U639" i="2" s="1"/>
  <c r="J522" i="2"/>
  <c r="J515" i="2"/>
  <c r="J508" i="2"/>
  <c r="V505" i="2" s="1"/>
  <c r="J501" i="2"/>
  <c r="W499" i="2" s="1"/>
  <c r="W484" i="2"/>
  <c r="W486" i="2"/>
  <c r="W488" i="2"/>
  <c r="W489" i="2"/>
  <c r="J179" i="2"/>
  <c r="J186" i="2"/>
  <c r="W188" i="2" s="1"/>
  <c r="V638" i="2"/>
  <c r="R416" i="2"/>
  <c r="U416" i="2" s="1"/>
  <c r="R346" i="2"/>
  <c r="U346" i="2" s="1"/>
  <c r="Q347" i="2"/>
  <c r="V347" i="2" s="1"/>
  <c r="Q423" i="2"/>
  <c r="Q419" i="2"/>
  <c r="Q311" i="2"/>
  <c r="V311" i="2" s="1"/>
  <c r="R185" i="2"/>
  <c r="W195" i="2"/>
  <c r="Q332" i="2"/>
  <c r="R331" i="2"/>
  <c r="J284" i="2"/>
  <c r="W281" i="2" s="1"/>
  <c r="V255" i="2"/>
  <c r="W192" i="2"/>
  <c r="R520" i="2"/>
  <c r="Q521" i="2"/>
  <c r="R417" i="2"/>
  <c r="U417" i="2" s="1"/>
  <c r="J354" i="2"/>
  <c r="W352" i="2" s="1"/>
  <c r="W325" i="2"/>
  <c r="W326" i="2"/>
  <c r="Q304" i="2"/>
  <c r="R303" i="2"/>
  <c r="J200" i="2"/>
  <c r="V417" i="2"/>
  <c r="W415" i="2"/>
  <c r="W417" i="2"/>
  <c r="W328" i="2"/>
  <c r="J319" i="2"/>
  <c r="J291" i="2"/>
  <c r="V288" i="2" s="1"/>
  <c r="W236" i="2"/>
  <c r="R191" i="2"/>
  <c r="U191" i="2" s="1"/>
  <c r="Q192" i="2"/>
  <c r="W636" i="2"/>
  <c r="Q584" i="2"/>
  <c r="R583" i="2"/>
  <c r="J543" i="2"/>
  <c r="V542" i="2" s="1"/>
  <c r="J550" i="2"/>
  <c r="W549" i="2" s="1"/>
  <c r="J529" i="2"/>
  <c r="J536" i="2"/>
  <c r="W538" i="2" s="1"/>
  <c r="R465" i="2"/>
  <c r="Q466" i="2"/>
  <c r="R466" i="2" s="1"/>
  <c r="V416" i="2"/>
  <c r="V345" i="2"/>
  <c r="Q241" i="2"/>
  <c r="R240" i="2"/>
  <c r="W222" i="2"/>
  <c r="W223" i="2"/>
  <c r="V220" i="2"/>
  <c r="V458" i="2"/>
  <c r="W402" i="2"/>
  <c r="V400" i="2"/>
  <c r="J466" i="2"/>
  <c r="V465" i="2" s="1"/>
  <c r="W461" i="2"/>
  <c r="J410" i="2"/>
  <c r="W409" i="2" s="1"/>
  <c r="J249" i="2"/>
  <c r="V246" i="2" s="1"/>
  <c r="Q221" i="2"/>
  <c r="R221" i="2" s="1"/>
  <c r="U221" i="2" s="1"/>
  <c r="R612" i="2"/>
  <c r="Q613" i="2"/>
  <c r="W680" i="2"/>
  <c r="Q675" i="2"/>
  <c r="R674" i="2"/>
  <c r="Q648" i="2"/>
  <c r="R647" i="2"/>
  <c r="R555" i="2"/>
  <c r="Q556" i="2"/>
  <c r="Q570" i="2"/>
  <c r="R569" i="2"/>
  <c r="Q564" i="2"/>
  <c r="R563" i="2"/>
  <c r="R682" i="2"/>
  <c r="Q683" i="2"/>
  <c r="R268" i="2"/>
  <c r="Q269" i="2"/>
  <c r="Q536" i="2"/>
  <c r="R535" i="2"/>
  <c r="W558" i="2"/>
  <c r="J669" i="2"/>
  <c r="J676" i="2"/>
  <c r="J655" i="2"/>
  <c r="J662" i="2"/>
  <c r="W638" i="2"/>
  <c r="W640" i="2"/>
  <c r="W639" i="2"/>
  <c r="W641" i="2"/>
  <c r="W642" i="2"/>
  <c r="J620" i="2"/>
  <c r="J613" i="2"/>
  <c r="Q543" i="2"/>
  <c r="R542" i="2"/>
  <c r="Q654" i="2"/>
  <c r="R653" i="2"/>
  <c r="R597" i="2"/>
  <c r="V519" i="2"/>
  <c r="V631" i="2"/>
  <c r="W635" i="2"/>
  <c r="V632" i="2"/>
  <c r="W631" i="2"/>
  <c r="V436" i="2"/>
  <c r="W436" i="2"/>
  <c r="W439" i="2"/>
  <c r="V435" i="2"/>
  <c r="V437" i="2"/>
  <c r="W435" i="2"/>
  <c r="W437" i="2"/>
  <c r="W438" i="2"/>
  <c r="R562" i="2"/>
  <c r="Q619" i="2"/>
  <c r="R618" i="2"/>
  <c r="W604" i="2"/>
  <c r="W607" i="2"/>
  <c r="W605" i="2"/>
  <c r="W606" i="2"/>
  <c r="Q599" i="2"/>
  <c r="J592" i="2"/>
  <c r="J585" i="2"/>
  <c r="V604" i="2"/>
  <c r="J599" i="2"/>
  <c r="R591" i="2"/>
  <c r="J445" i="2"/>
  <c r="J452" i="2"/>
  <c r="W632" i="2"/>
  <c r="R576" i="2"/>
  <c r="Q577" i="2"/>
  <c r="Q507" i="2"/>
  <c r="R506" i="2"/>
  <c r="V506" i="2"/>
  <c r="R388" i="2"/>
  <c r="Q389" i="2"/>
  <c r="Q493" i="2"/>
  <c r="R492" i="2"/>
  <c r="J480" i="2"/>
  <c r="J473" i="2"/>
  <c r="W433" i="2"/>
  <c r="V274" i="2"/>
  <c r="V275" i="2"/>
  <c r="W275" i="2"/>
  <c r="W277" i="2"/>
  <c r="W274" i="2"/>
  <c r="V276" i="2"/>
  <c r="W276" i="2"/>
  <c r="W279" i="2"/>
  <c r="Q264" i="2"/>
  <c r="R263" i="2"/>
  <c r="R387" i="2"/>
  <c r="J361" i="2"/>
  <c r="J368" i="2"/>
  <c r="W485" i="2"/>
  <c r="V484" i="2"/>
  <c r="W487" i="2"/>
  <c r="Q472" i="2"/>
  <c r="R471" i="2"/>
  <c r="W431" i="2"/>
  <c r="W428" i="2"/>
  <c r="W251" i="2"/>
  <c r="R500" i="2"/>
  <c r="Q501" i="2"/>
  <c r="R450" i="2"/>
  <c r="V295" i="2"/>
  <c r="W295" i="2"/>
  <c r="W297" i="2"/>
  <c r="V296" i="2"/>
  <c r="W300" i="2"/>
  <c r="W298" i="2"/>
  <c r="W299" i="2"/>
  <c r="W296" i="2"/>
  <c r="V456" i="2"/>
  <c r="W456" i="2"/>
  <c r="W459" i="2"/>
  <c r="W458" i="2"/>
  <c r="W460" i="2"/>
  <c r="W457" i="2"/>
  <c r="R458" i="2"/>
  <c r="U458" i="2" s="1"/>
  <c r="Q459" i="2"/>
  <c r="V459" i="2" s="1"/>
  <c r="W429" i="2"/>
  <c r="W432" i="2"/>
  <c r="V431" i="2"/>
  <c r="W430" i="2"/>
  <c r="W331" i="2"/>
  <c r="V330" i="2"/>
  <c r="W330" i="2"/>
  <c r="R248" i="2"/>
  <c r="Q353" i="2"/>
  <c r="R352" i="2"/>
  <c r="V338" i="2"/>
  <c r="W338" i="2"/>
  <c r="W341" i="2"/>
  <c r="W340" i="2"/>
  <c r="Q256" i="2"/>
  <c r="V256" i="2" s="1"/>
  <c r="R255" i="2"/>
  <c r="U255" i="2" s="1"/>
  <c r="R198" i="2"/>
  <c r="Q199" i="2"/>
  <c r="W508" i="2"/>
  <c r="R367" i="2"/>
  <c r="W342" i="2"/>
  <c r="Q339" i="2"/>
  <c r="R338" i="2"/>
  <c r="V205" i="2"/>
  <c r="W205" i="2"/>
  <c r="W208" i="2"/>
  <c r="W207" i="2"/>
  <c r="W206" i="2"/>
  <c r="W408" i="2"/>
  <c r="W410" i="2"/>
  <c r="V381" i="2"/>
  <c r="V344" i="2"/>
  <c r="W344" i="2"/>
  <c r="W347" i="2"/>
  <c r="W349" i="2"/>
  <c r="W346" i="2"/>
  <c r="W337" i="2"/>
  <c r="Q187" i="2"/>
  <c r="R186" i="2"/>
  <c r="W566" i="2"/>
  <c r="V409" i="2"/>
  <c r="V374" i="2"/>
  <c r="W374" i="2"/>
  <c r="W377" i="2"/>
  <c r="V372" i="2"/>
  <c r="W372" i="2"/>
  <c r="W376" i="2"/>
  <c r="R374" i="2"/>
  <c r="U374" i="2" s="1"/>
  <c r="Q375" i="2"/>
  <c r="W348" i="2"/>
  <c r="V346" i="2"/>
  <c r="V337" i="2"/>
  <c r="V254" i="2"/>
  <c r="V253" i="2"/>
  <c r="W253" i="2"/>
  <c r="W255" i="2"/>
  <c r="W257" i="2"/>
  <c r="W254" i="2"/>
  <c r="W256" i="2"/>
  <c r="W258" i="2"/>
  <c r="R234" i="2"/>
  <c r="U234" i="2" s="1"/>
  <c r="V234" i="2"/>
  <c r="R177" i="2"/>
  <c r="Q178" i="2"/>
  <c r="W309" i="2"/>
  <c r="W312" i="2"/>
  <c r="V309" i="2"/>
  <c r="W314" i="2"/>
  <c r="W311" i="2"/>
  <c r="V310" i="2"/>
  <c r="J263" i="2"/>
  <c r="J270" i="2"/>
  <c r="V415" i="2"/>
  <c r="V418" i="2"/>
  <c r="W310" i="2"/>
  <c r="Q277" i="2"/>
  <c r="W416" i="2"/>
  <c r="W400" i="2"/>
  <c r="W313" i="2"/>
  <c r="Q291" i="2"/>
  <c r="R226" i="2"/>
  <c r="Q227" i="2"/>
  <c r="W327" i="2"/>
  <c r="W324" i="2"/>
  <c r="V233" i="2"/>
  <c r="V232" i="2"/>
  <c r="W232" i="2"/>
  <c r="W235" i="2"/>
  <c r="V324" i="2"/>
  <c r="W234" i="2"/>
  <c r="J228" i="2"/>
  <c r="W190" i="2"/>
  <c r="W193" i="2"/>
  <c r="V191" i="2"/>
  <c r="W191" i="2"/>
  <c r="W194" i="2"/>
  <c r="V190" i="2"/>
  <c r="V218" i="2"/>
  <c r="W218" i="2"/>
  <c r="W221" i="2"/>
  <c r="R184" i="2"/>
  <c r="V170" i="2"/>
  <c r="V169" i="2"/>
  <c r="W169" i="2"/>
  <c r="W172" i="2"/>
  <c r="W171" i="2"/>
  <c r="W174" i="2"/>
  <c r="J165" i="2"/>
  <c r="W163" i="2" s="1"/>
  <c r="Q172" i="2"/>
  <c r="R171" i="2"/>
  <c r="U171" i="2" s="1"/>
  <c r="V171" i="2"/>
  <c r="R164" i="2"/>
  <c r="Q165" i="2"/>
  <c r="U169" i="2"/>
  <c r="W173" i="2"/>
  <c r="W170" i="2"/>
  <c r="W160" i="2"/>
  <c r="W157" i="2"/>
  <c r="W158" i="2"/>
  <c r="W155" i="2"/>
  <c r="V155" i="2"/>
  <c r="U155" i="2"/>
  <c r="W159" i="2"/>
  <c r="W156" i="2"/>
  <c r="V156" i="2"/>
  <c r="U156" i="2"/>
  <c r="Q157" i="2"/>
  <c r="W286" i="2" l="1"/>
  <c r="V463" i="2"/>
  <c r="W554" i="2"/>
  <c r="V543" i="2"/>
  <c r="V281" i="2"/>
  <c r="V554" i="2"/>
  <c r="W152" i="2"/>
  <c r="W394" i="2"/>
  <c r="R437" i="2"/>
  <c r="W557" i="2"/>
  <c r="W561" i="2"/>
  <c r="V561" i="2"/>
  <c r="V394" i="2"/>
  <c r="W495" i="2"/>
  <c r="W384" i="2"/>
  <c r="W397" i="2"/>
  <c r="W492" i="2"/>
  <c r="W382" i="2"/>
  <c r="W379" i="2"/>
  <c r="V491" i="2"/>
  <c r="W556" i="2"/>
  <c r="V682" i="2"/>
  <c r="V318" i="2"/>
  <c r="W685" i="2"/>
  <c r="W496" i="2"/>
  <c r="V681" i="2"/>
  <c r="W493" i="2"/>
  <c r="W682" i="2"/>
  <c r="W683" i="2"/>
  <c r="Q467" i="2"/>
  <c r="V500" i="2"/>
  <c r="W381" i="2"/>
  <c r="V408" i="2"/>
  <c r="W247" i="2"/>
  <c r="W491" i="2"/>
  <c r="V680" i="2"/>
  <c r="W250" i="2"/>
  <c r="V379" i="2"/>
  <c r="W412" i="2"/>
  <c r="W502" i="2"/>
  <c r="V576" i="2"/>
  <c r="W494" i="2"/>
  <c r="W681" i="2"/>
  <c r="W690" i="2"/>
  <c r="W153" i="2"/>
  <c r="V556" i="2"/>
  <c r="R452" i="2"/>
  <c r="U452" i="2" s="1"/>
  <c r="W150" i="2"/>
  <c r="W687" i="2"/>
  <c r="V290" i="2"/>
  <c r="W568" i="2"/>
  <c r="W626" i="2"/>
  <c r="W544" i="2"/>
  <c r="W692" i="2"/>
  <c r="V423" i="2"/>
  <c r="W149" i="2"/>
  <c r="V150" i="2"/>
  <c r="Q361" i="2"/>
  <c r="Q362" i="2" s="1"/>
  <c r="W572" i="2"/>
  <c r="V626" i="2"/>
  <c r="W688" i="2"/>
  <c r="V422" i="2"/>
  <c r="W689" i="2"/>
  <c r="V627" i="2"/>
  <c r="V501" i="2"/>
  <c r="V395" i="2"/>
  <c r="W288" i="2"/>
  <c r="W540" i="2"/>
  <c r="V688" i="2"/>
  <c r="U184" i="2"/>
  <c r="V206" i="2"/>
  <c r="V317" i="2"/>
  <c r="V569" i="2"/>
  <c r="W627" i="2"/>
  <c r="V540" i="2"/>
  <c r="W555" i="2"/>
  <c r="W691" i="2"/>
  <c r="V319" i="2"/>
  <c r="W625" i="2"/>
  <c r="W318" i="2"/>
  <c r="W291" i="2"/>
  <c r="W151" i="2"/>
  <c r="U149" i="2"/>
  <c r="W569" i="2"/>
  <c r="V624" i="2"/>
  <c r="U151" i="2"/>
  <c r="W148" i="2"/>
  <c r="V302" i="2"/>
  <c r="W248" i="2"/>
  <c r="W624" i="2"/>
  <c r="V541" i="2"/>
  <c r="V555" i="2"/>
  <c r="V249" i="2"/>
  <c r="W317" i="2"/>
  <c r="R150" i="2"/>
  <c r="U150" i="2" s="1"/>
  <c r="W185" i="2"/>
  <c r="V149" i="2"/>
  <c r="V148" i="2"/>
  <c r="W545" i="2"/>
  <c r="V521" i="2"/>
  <c r="U185" i="2"/>
  <c r="W534" i="2"/>
  <c r="U533" i="2"/>
  <c r="U534" i="2"/>
  <c r="U535" i="2"/>
  <c r="U505" i="2"/>
  <c r="U506" i="2"/>
  <c r="V527" i="2"/>
  <c r="U526" i="2"/>
  <c r="U528" i="2"/>
  <c r="U527" i="2"/>
  <c r="W514" i="2"/>
  <c r="U512" i="2"/>
  <c r="U513" i="2"/>
  <c r="V393" i="2"/>
  <c r="U394" i="2"/>
  <c r="U393" i="2"/>
  <c r="V303" i="2"/>
  <c r="U302" i="2"/>
  <c r="U303" i="2"/>
  <c r="W562" i="2"/>
  <c r="U561" i="2"/>
  <c r="U562" i="2"/>
  <c r="U563" i="2"/>
  <c r="U442" i="2"/>
  <c r="U444" i="2"/>
  <c r="U443" i="2"/>
  <c r="U366" i="2"/>
  <c r="U365" i="2"/>
  <c r="U367" i="2"/>
  <c r="W536" i="2"/>
  <c r="U470" i="2"/>
  <c r="U471" i="2"/>
  <c r="W388" i="2"/>
  <c r="U386" i="2"/>
  <c r="U387" i="2"/>
  <c r="U388" i="2"/>
  <c r="U477" i="2"/>
  <c r="U478" i="2"/>
  <c r="U479" i="2"/>
  <c r="V514" i="2"/>
  <c r="R432" i="2"/>
  <c r="U432" i="2" s="1"/>
  <c r="W542" i="2"/>
  <c r="Q410" i="2"/>
  <c r="R410" i="2" s="1"/>
  <c r="U410" i="2" s="1"/>
  <c r="W528" i="2"/>
  <c r="U610" i="2"/>
  <c r="U611" i="2"/>
  <c r="U612" i="2"/>
  <c r="U660" i="2"/>
  <c r="U661" i="2"/>
  <c r="U662" i="2"/>
  <c r="U659" i="2"/>
  <c r="V563" i="2"/>
  <c r="V304" i="2"/>
  <c r="W565" i="2"/>
  <c r="W339" i="2"/>
  <c r="U337" i="2"/>
  <c r="U338" i="2"/>
  <c r="W440" i="2"/>
  <c r="U436" i="2"/>
  <c r="U437" i="2"/>
  <c r="U435" i="2"/>
  <c r="U183" i="2"/>
  <c r="U554" i="2"/>
  <c r="U555" i="2"/>
  <c r="U669" i="2"/>
  <c r="U666" i="2"/>
  <c r="U667" i="2"/>
  <c r="U668" i="2"/>
  <c r="V529" i="2"/>
  <c r="W292" i="2"/>
  <c r="U288" i="2"/>
  <c r="P21" i="6" s="1"/>
  <c r="U290" i="2"/>
  <c r="U289" i="2"/>
  <c r="W520" i="2"/>
  <c r="U520" i="2"/>
  <c r="U519" i="2"/>
  <c r="U358" i="2"/>
  <c r="U360" i="2"/>
  <c r="U359" i="2"/>
  <c r="U316" i="2"/>
  <c r="U317" i="2"/>
  <c r="W304" i="2"/>
  <c r="U186" i="2"/>
  <c r="W319" i="2"/>
  <c r="W396" i="2"/>
  <c r="W290" i="2"/>
  <c r="W523" i="2"/>
  <c r="U596" i="2"/>
  <c r="U597" i="2"/>
  <c r="U598" i="2"/>
  <c r="Q433" i="2"/>
  <c r="R433" i="2" s="1"/>
  <c r="U433" i="2" s="1"/>
  <c r="V633" i="2"/>
  <c r="V528" i="2"/>
  <c r="U617" i="2"/>
  <c r="U618" i="2"/>
  <c r="U652" i="2"/>
  <c r="U653" i="2"/>
  <c r="R514" i="2"/>
  <c r="U514" i="2" s="1"/>
  <c r="W246" i="2"/>
  <c r="U246" i="2"/>
  <c r="U247" i="2"/>
  <c r="U248" i="2"/>
  <c r="V283" i="2"/>
  <c r="U282" i="2"/>
  <c r="U281" i="2"/>
  <c r="U283" i="2"/>
  <c r="W564" i="2"/>
  <c r="W335" i="2"/>
  <c r="U330" i="2"/>
  <c r="U331" i="2"/>
  <c r="W383" i="2"/>
  <c r="U380" i="2"/>
  <c r="U379" i="2"/>
  <c r="U449" i="2"/>
  <c r="U450" i="2"/>
  <c r="U451" i="2"/>
  <c r="U464" i="2"/>
  <c r="U465" i="2"/>
  <c r="U466" i="2"/>
  <c r="U463" i="2"/>
  <c r="U267" i="2"/>
  <c r="U548" i="2"/>
  <c r="U549" i="2"/>
  <c r="U550" i="2"/>
  <c r="U547" i="2"/>
  <c r="U645" i="2"/>
  <c r="U647" i="2"/>
  <c r="U646" i="2"/>
  <c r="V512" i="2"/>
  <c r="W307" i="2"/>
  <c r="V464" i="2"/>
  <c r="W316" i="2"/>
  <c r="W393" i="2"/>
  <c r="W293" i="2"/>
  <c r="V520" i="2"/>
  <c r="Q628" i="2"/>
  <c r="R628" i="2" s="1"/>
  <c r="U628" i="2" s="1"/>
  <c r="Q634" i="2"/>
  <c r="V634" i="2" s="1"/>
  <c r="U408" i="2"/>
  <c r="U409" i="2"/>
  <c r="U407" i="2"/>
  <c r="W563" i="2"/>
  <c r="R626" i="2"/>
  <c r="U626" i="2" s="1"/>
  <c r="W212" i="2"/>
  <c r="V212" i="2"/>
  <c r="W214" i="2"/>
  <c r="V211" i="2"/>
  <c r="W213" i="2"/>
  <c r="W216" i="2"/>
  <c r="W215" i="2"/>
  <c r="W211" i="2"/>
  <c r="U212" i="2"/>
  <c r="U211" i="2"/>
  <c r="U213" i="2"/>
  <c r="V213" i="2"/>
  <c r="V214" i="2"/>
  <c r="U214" i="2"/>
  <c r="V215" i="2"/>
  <c r="U215" i="2"/>
  <c r="V216" i="2"/>
  <c r="U216" i="2"/>
  <c r="Q284" i="2"/>
  <c r="V284" i="2" s="1"/>
  <c r="U680" i="2"/>
  <c r="U681" i="2"/>
  <c r="U682" i="2"/>
  <c r="U576" i="2"/>
  <c r="U575" i="2"/>
  <c r="U492" i="2"/>
  <c r="U491" i="2"/>
  <c r="U589" i="2"/>
  <c r="U590" i="2"/>
  <c r="U591" i="2"/>
  <c r="V176" i="2"/>
  <c r="U176" i="2"/>
  <c r="U177" i="2"/>
  <c r="U262" i="2"/>
  <c r="U260" i="2"/>
  <c r="U261" i="2"/>
  <c r="U263" i="2"/>
  <c r="W552" i="2"/>
  <c r="V289" i="2"/>
  <c r="W530" i="2"/>
  <c r="W541" i="2"/>
  <c r="U540" i="2"/>
  <c r="U541" i="2"/>
  <c r="U542" i="2"/>
  <c r="W302" i="2"/>
  <c r="Q152" i="2"/>
  <c r="V152" i="2" s="1"/>
  <c r="V151" i="2"/>
  <c r="W305" i="2"/>
  <c r="W505" i="2"/>
  <c r="W465" i="2"/>
  <c r="W320" i="2"/>
  <c r="W398" i="2"/>
  <c r="W289" i="2"/>
  <c r="U582" i="2"/>
  <c r="U583" i="2"/>
  <c r="W543" i="2"/>
  <c r="W522" i="2"/>
  <c r="R627" i="2"/>
  <c r="U627" i="2" s="1"/>
  <c r="U673" i="2"/>
  <c r="U674" i="2"/>
  <c r="W355" i="2"/>
  <c r="U352" i="2"/>
  <c r="U351" i="2"/>
  <c r="V498" i="2"/>
  <c r="U498" i="2"/>
  <c r="U499" i="2"/>
  <c r="U500" i="2"/>
  <c r="U422" i="2"/>
  <c r="U421" i="2"/>
  <c r="U688" i="2"/>
  <c r="U687" i="2"/>
  <c r="U568" i="2"/>
  <c r="U569" i="2"/>
  <c r="W628" i="2"/>
  <c r="U624" i="2"/>
  <c r="U625" i="2"/>
  <c r="W243" i="2"/>
  <c r="U239" i="2"/>
  <c r="U240" i="2"/>
  <c r="U225" i="2"/>
  <c r="U226" i="2"/>
  <c r="U198" i="2"/>
  <c r="U197" i="2"/>
  <c r="W199" i="2"/>
  <c r="V186" i="2"/>
  <c r="V177" i="2"/>
  <c r="V185" i="2"/>
  <c r="V207" i="2"/>
  <c r="Q208" i="2"/>
  <c r="V208" i="2" s="1"/>
  <c r="R207" i="2"/>
  <c r="U207" i="2" s="1"/>
  <c r="W515" i="2"/>
  <c r="W535" i="2"/>
  <c r="V515" i="2"/>
  <c r="W387" i="2"/>
  <c r="V386" i="2"/>
  <c r="R445" i="2"/>
  <c r="U445" i="2" s="1"/>
  <c r="Q446" i="2"/>
  <c r="V198" i="2"/>
  <c r="W332" i="2"/>
  <c r="W334" i="2"/>
  <c r="V387" i="2"/>
  <c r="W284" i="2"/>
  <c r="V499" i="2"/>
  <c r="W512" i="2"/>
  <c r="W519" i="2"/>
  <c r="V534" i="2"/>
  <c r="V535" i="2"/>
  <c r="W241" i="2"/>
  <c r="Q522" i="2"/>
  <c r="V522" i="2" s="1"/>
  <c r="V247" i="2"/>
  <c r="W285" i="2"/>
  <c r="V388" i="2"/>
  <c r="R297" i="2"/>
  <c r="W533" i="2"/>
  <c r="Q670" i="2"/>
  <c r="R670" i="2" s="1"/>
  <c r="U670" i="2" s="1"/>
  <c r="W202" i="2"/>
  <c r="W181" i="2"/>
  <c r="W391" i="2"/>
  <c r="V351" i="2"/>
  <c r="R521" i="2"/>
  <c r="U521" i="2" s="1"/>
  <c r="V646" i="2"/>
  <c r="W513" i="2"/>
  <c r="V550" i="2"/>
  <c r="Q663" i="2"/>
  <c r="R663" i="2" s="1"/>
  <c r="U663" i="2" s="1"/>
  <c r="V533" i="2"/>
  <c r="V332" i="2"/>
  <c r="V240" i="2"/>
  <c r="W306" i="2"/>
  <c r="R486" i="2"/>
  <c r="U486" i="2" s="1"/>
  <c r="V625" i="2"/>
  <c r="V221" i="2"/>
  <c r="W354" i="2"/>
  <c r="W516" i="2"/>
  <c r="W178" i="2"/>
  <c r="R318" i="2"/>
  <c r="U318" i="2" s="1"/>
  <c r="W333" i="2"/>
  <c r="V248" i="2"/>
  <c r="V297" i="2"/>
  <c r="W249" i="2"/>
  <c r="V325" i="2"/>
  <c r="W283" i="2"/>
  <c r="W503" i="2"/>
  <c r="W498" i="2"/>
  <c r="W517" i="2"/>
  <c r="Q551" i="2"/>
  <c r="R551" i="2" s="1"/>
  <c r="U551" i="2" s="1"/>
  <c r="W524" i="2"/>
  <c r="W537" i="2"/>
  <c r="R423" i="2"/>
  <c r="U423" i="2" s="1"/>
  <c r="W242" i="2"/>
  <c r="W244" i="2"/>
  <c r="V352" i="2"/>
  <c r="V331" i="2"/>
  <c r="V486" i="2"/>
  <c r="W501" i="2"/>
  <c r="V239" i="2"/>
  <c r="V178" i="2"/>
  <c r="Q222" i="2"/>
  <c r="V222" i="2" s="1"/>
  <c r="Q326" i="2"/>
  <c r="R326" i="2" s="1"/>
  <c r="U326" i="2" s="1"/>
  <c r="W500" i="2"/>
  <c r="W521" i="2"/>
  <c r="V526" i="2"/>
  <c r="V536" i="2"/>
  <c r="Q424" i="2"/>
  <c r="Q425" i="2" s="1"/>
  <c r="W240" i="2"/>
  <c r="W239" i="2"/>
  <c r="Q396" i="2"/>
  <c r="R395" i="2"/>
  <c r="U395" i="2" s="1"/>
  <c r="W576" i="2"/>
  <c r="V575" i="2"/>
  <c r="W575" i="2"/>
  <c r="W578" i="2"/>
  <c r="W579" i="2"/>
  <c r="W580" i="2"/>
  <c r="W573" i="2"/>
  <c r="V568" i="2"/>
  <c r="W571" i="2"/>
  <c r="V421" i="2"/>
  <c r="W421" i="2"/>
  <c r="W422" i="2"/>
  <c r="W424" i="2"/>
  <c r="W425" i="2"/>
  <c r="W426" i="2"/>
  <c r="W389" i="2"/>
  <c r="W390" i="2"/>
  <c r="W167" i="2"/>
  <c r="V466" i="2"/>
  <c r="W467" i="2"/>
  <c r="W466" i="2"/>
  <c r="Q530" i="2"/>
  <c r="R529" i="2"/>
  <c r="U529" i="2" s="1"/>
  <c r="W531" i="2"/>
  <c r="V549" i="2"/>
  <c r="V547" i="2"/>
  <c r="W547" i="2"/>
  <c r="W550" i="2"/>
  <c r="W551" i="2"/>
  <c r="W548" i="2"/>
  <c r="V548" i="2"/>
  <c r="R304" i="2"/>
  <c r="U304" i="2" s="1"/>
  <c r="Q305" i="2"/>
  <c r="R311" i="2"/>
  <c r="U311" i="2" s="1"/>
  <c r="Q312" i="2"/>
  <c r="R419" i="2"/>
  <c r="U419" i="2" s="1"/>
  <c r="V419" i="2"/>
  <c r="R480" i="2"/>
  <c r="U480" i="2" s="1"/>
  <c r="Q481" i="2"/>
  <c r="V481" i="2" s="1"/>
  <c r="Q193" i="2"/>
  <c r="R192" i="2"/>
  <c r="U192" i="2" s="1"/>
  <c r="V282" i="2"/>
  <c r="W282" i="2"/>
  <c r="V183" i="2"/>
  <c r="W184" i="2"/>
  <c r="W183" i="2"/>
  <c r="V184" i="2"/>
  <c r="W186" i="2"/>
  <c r="W187" i="2"/>
  <c r="W507" i="2"/>
  <c r="W509" i="2"/>
  <c r="W506" i="2"/>
  <c r="W510" i="2"/>
  <c r="R402" i="2"/>
  <c r="U402" i="2" s="1"/>
  <c r="Q403" i="2"/>
  <c r="R605" i="2"/>
  <c r="U605" i="2" s="1"/>
  <c r="V605" i="2"/>
  <c r="Q606" i="2"/>
  <c r="Q488" i="2"/>
  <c r="R487" i="2"/>
  <c r="U487" i="2" s="1"/>
  <c r="R584" i="2"/>
  <c r="U584" i="2" s="1"/>
  <c r="Q585" i="2"/>
  <c r="V585" i="2" s="1"/>
  <c r="W176" i="2"/>
  <c r="W177" i="2"/>
  <c r="W179" i="2"/>
  <c r="W180" i="2"/>
  <c r="V513" i="2"/>
  <c r="R689" i="2"/>
  <c r="U689" i="2" s="1"/>
  <c r="Q690" i="2"/>
  <c r="W463" i="2"/>
  <c r="W527" i="2"/>
  <c r="V192" i="2"/>
  <c r="W351" i="2"/>
  <c r="W353" i="2"/>
  <c r="W356" i="2"/>
  <c r="R332" i="2"/>
  <c r="U332" i="2" s="1"/>
  <c r="Q333" i="2"/>
  <c r="R347" i="2"/>
  <c r="U347" i="2" s="1"/>
  <c r="Q348" i="2"/>
  <c r="V689" i="2"/>
  <c r="R381" i="2"/>
  <c r="U381" i="2" s="1"/>
  <c r="Q382" i="2"/>
  <c r="U163" i="2"/>
  <c r="W468" i="2"/>
  <c r="W529" i="2"/>
  <c r="W411" i="2"/>
  <c r="V407" i="2"/>
  <c r="W407" i="2"/>
  <c r="V197" i="2"/>
  <c r="W197" i="2"/>
  <c r="W200" i="2"/>
  <c r="W198" i="2"/>
  <c r="W201" i="2"/>
  <c r="W464" i="2"/>
  <c r="W526" i="2"/>
  <c r="R241" i="2"/>
  <c r="U241" i="2" s="1"/>
  <c r="Q242" i="2"/>
  <c r="V316" i="2"/>
  <c r="W321" i="2"/>
  <c r="V241" i="2"/>
  <c r="R640" i="2"/>
  <c r="U640" i="2" s="1"/>
  <c r="Q641" i="2"/>
  <c r="W645" i="2"/>
  <c r="W646" i="2"/>
  <c r="W649" i="2"/>
  <c r="W647" i="2"/>
  <c r="W648" i="2"/>
  <c r="W650" i="2"/>
  <c r="V645" i="2"/>
  <c r="Q340" i="2"/>
  <c r="R339" i="2"/>
  <c r="U339" i="2" s="1"/>
  <c r="V339" i="2"/>
  <c r="Q369" i="2"/>
  <c r="R368" i="2"/>
  <c r="U368" i="2" s="1"/>
  <c r="R472" i="2"/>
  <c r="U472" i="2" s="1"/>
  <c r="Q473" i="2"/>
  <c r="V365" i="2"/>
  <c r="V368" i="2"/>
  <c r="W365" i="2"/>
  <c r="W368" i="2"/>
  <c r="V367" i="2"/>
  <c r="W367" i="2"/>
  <c r="W369" i="2"/>
  <c r="V366" i="2"/>
  <c r="W370" i="2"/>
  <c r="W366" i="2"/>
  <c r="W583" i="2"/>
  <c r="W586" i="2"/>
  <c r="V583" i="2"/>
  <c r="W585" i="2"/>
  <c r="W587" i="2"/>
  <c r="V584" i="2"/>
  <c r="W584" i="2"/>
  <c r="V582" i="2"/>
  <c r="W582" i="2"/>
  <c r="Q655" i="2"/>
  <c r="V655" i="2" s="1"/>
  <c r="R654" i="2"/>
  <c r="U654" i="2" s="1"/>
  <c r="W674" i="2"/>
  <c r="W677" i="2"/>
  <c r="W675" i="2"/>
  <c r="V675" i="2"/>
  <c r="V673" i="2"/>
  <c r="W673" i="2"/>
  <c r="V674" i="2"/>
  <c r="W676" i="2"/>
  <c r="W678" i="2"/>
  <c r="R424" i="2"/>
  <c r="U424" i="2" s="1"/>
  <c r="Q292" i="2"/>
  <c r="R291" i="2"/>
  <c r="U291" i="2" s="1"/>
  <c r="R277" i="2"/>
  <c r="U277" i="2" s="1"/>
  <c r="Q278" i="2"/>
  <c r="R353" i="2"/>
  <c r="U353" i="2" s="1"/>
  <c r="Q354" i="2"/>
  <c r="V353" i="2"/>
  <c r="V358" i="2"/>
  <c r="W358" i="2"/>
  <c r="W361" i="2"/>
  <c r="V360" i="2"/>
  <c r="W360" i="2"/>
  <c r="W362" i="2"/>
  <c r="W363" i="2"/>
  <c r="V359" i="2"/>
  <c r="W359" i="2"/>
  <c r="W470" i="2"/>
  <c r="W473" i="2"/>
  <c r="W471" i="2"/>
  <c r="W475" i="2"/>
  <c r="V470" i="2"/>
  <c r="V471" i="2"/>
  <c r="W472" i="2"/>
  <c r="W474" i="2"/>
  <c r="V472" i="2"/>
  <c r="Q578" i="2"/>
  <c r="R577" i="2"/>
  <c r="U577" i="2" s="1"/>
  <c r="V577" i="2"/>
  <c r="V590" i="2"/>
  <c r="W589" i="2"/>
  <c r="V591" i="2"/>
  <c r="W591" i="2"/>
  <c r="W593" i="2"/>
  <c r="W592" i="2"/>
  <c r="W590" i="2"/>
  <c r="W594" i="2"/>
  <c r="V589" i="2"/>
  <c r="V592" i="2"/>
  <c r="V666" i="2"/>
  <c r="V669" i="2"/>
  <c r="W667" i="2"/>
  <c r="V668" i="2"/>
  <c r="W670" i="2"/>
  <c r="W671" i="2"/>
  <c r="W666" i="2"/>
  <c r="W669" i="2"/>
  <c r="V667" i="2"/>
  <c r="W668" i="2"/>
  <c r="Q614" i="2"/>
  <c r="V614" i="2" s="1"/>
  <c r="R613" i="2"/>
  <c r="U613" i="2" s="1"/>
  <c r="W227" i="2"/>
  <c r="W230" i="2"/>
  <c r="W226" i="2"/>
  <c r="W229" i="2"/>
  <c r="V225" i="2"/>
  <c r="V227" i="2"/>
  <c r="V226" i="2"/>
  <c r="W228" i="2"/>
  <c r="W225" i="2"/>
  <c r="W268" i="2"/>
  <c r="W271" i="2"/>
  <c r="W270" i="2"/>
  <c r="V267" i="2"/>
  <c r="W272" i="2"/>
  <c r="W267" i="2"/>
  <c r="V269" i="2"/>
  <c r="W269" i="2"/>
  <c r="V268" i="2"/>
  <c r="V477" i="2"/>
  <c r="V480" i="2"/>
  <c r="W477" i="2"/>
  <c r="V479" i="2"/>
  <c r="W479" i="2"/>
  <c r="W478" i="2"/>
  <c r="W480" i="2"/>
  <c r="V478" i="2"/>
  <c r="W481" i="2"/>
  <c r="W482" i="2"/>
  <c r="R592" i="2"/>
  <c r="U592" i="2" s="1"/>
  <c r="Q593" i="2"/>
  <c r="Q600" i="2"/>
  <c r="V600" i="2" s="1"/>
  <c r="R599" i="2"/>
  <c r="U599" i="2" s="1"/>
  <c r="V660" i="2"/>
  <c r="W660" i="2"/>
  <c r="W663" i="2"/>
  <c r="V661" i="2"/>
  <c r="V659" i="2"/>
  <c r="W661" i="2"/>
  <c r="W659" i="2"/>
  <c r="W664" i="2"/>
  <c r="W662" i="2"/>
  <c r="V662" i="2"/>
  <c r="Q516" i="2"/>
  <c r="R515" i="2"/>
  <c r="U515" i="2" s="1"/>
  <c r="Q537" i="2"/>
  <c r="R536" i="2"/>
  <c r="U536" i="2" s="1"/>
  <c r="R269" i="2"/>
  <c r="U269" i="2" s="1"/>
  <c r="Q270" i="2"/>
  <c r="V270" i="2" s="1"/>
  <c r="R564" i="2"/>
  <c r="U564" i="2" s="1"/>
  <c r="Q565" i="2"/>
  <c r="V564" i="2"/>
  <c r="Q649" i="2"/>
  <c r="R648" i="2"/>
  <c r="U648" i="2" s="1"/>
  <c r="V648" i="2"/>
  <c r="Q188" i="2"/>
  <c r="R187" i="2"/>
  <c r="U187" i="2" s="1"/>
  <c r="V187" i="2"/>
  <c r="R256" i="2"/>
  <c r="U256" i="2" s="1"/>
  <c r="Q257" i="2"/>
  <c r="Q209" i="2"/>
  <c r="R208" i="2"/>
  <c r="U208" i="2" s="1"/>
  <c r="R249" i="2"/>
  <c r="Q250" i="2"/>
  <c r="Q265" i="2"/>
  <c r="R265" i="2" s="1"/>
  <c r="U265" i="2" s="1"/>
  <c r="R264" i="2"/>
  <c r="U264" i="2" s="1"/>
  <c r="R493" i="2"/>
  <c r="U493" i="2" s="1"/>
  <c r="Q494" i="2"/>
  <c r="Q390" i="2"/>
  <c r="R389" i="2"/>
  <c r="U389" i="2" s="1"/>
  <c r="V389" i="2"/>
  <c r="R298" i="2"/>
  <c r="Q299" i="2"/>
  <c r="Q620" i="2"/>
  <c r="V620" i="2" s="1"/>
  <c r="R619" i="2"/>
  <c r="U619" i="2" s="1"/>
  <c r="V410" i="2"/>
  <c r="Q411" i="2"/>
  <c r="V610" i="2"/>
  <c r="V613" i="2"/>
  <c r="W615" i="2"/>
  <c r="W610" i="2"/>
  <c r="V612" i="2"/>
  <c r="V611" i="2"/>
  <c r="W613" i="2"/>
  <c r="W611" i="2"/>
  <c r="W612" i="2"/>
  <c r="W614" i="2"/>
  <c r="Q454" i="2"/>
  <c r="R454" i="2" s="1"/>
  <c r="U454" i="2" s="1"/>
  <c r="R453" i="2"/>
  <c r="U453" i="2" s="1"/>
  <c r="V262" i="2"/>
  <c r="W264" i="2"/>
  <c r="W261" i="2"/>
  <c r="W263" i="2"/>
  <c r="V264" i="2"/>
  <c r="V261" i="2"/>
  <c r="W265" i="2"/>
  <c r="V263" i="2"/>
  <c r="V260" i="2"/>
  <c r="W262" i="2"/>
  <c r="W260" i="2"/>
  <c r="R178" i="2"/>
  <c r="U178" i="2" s="1"/>
  <c r="Q179" i="2"/>
  <c r="V277" i="2"/>
  <c r="V596" i="2"/>
  <c r="W601" i="2"/>
  <c r="W596" i="2"/>
  <c r="V598" i="2"/>
  <c r="V597" i="2"/>
  <c r="W598" i="2"/>
  <c r="V599" i="2"/>
  <c r="W599" i="2"/>
  <c r="W597" i="2"/>
  <c r="W600" i="2"/>
  <c r="Q544" i="2"/>
  <c r="R543" i="2"/>
  <c r="U543" i="2" s="1"/>
  <c r="W653" i="2"/>
  <c r="W656" i="2"/>
  <c r="W654" i="2"/>
  <c r="W657" i="2"/>
  <c r="V654" i="2"/>
  <c r="V652" i="2"/>
  <c r="W652" i="2"/>
  <c r="V653" i="2"/>
  <c r="W655" i="2"/>
  <c r="R227" i="2"/>
  <c r="U227" i="2" s="1"/>
  <c r="Q228" i="2"/>
  <c r="Q376" i="2"/>
  <c r="R375" i="2"/>
  <c r="U375" i="2" s="1"/>
  <c r="V375" i="2"/>
  <c r="R319" i="2"/>
  <c r="U319" i="2" s="1"/>
  <c r="Q320" i="2"/>
  <c r="Q468" i="2"/>
  <c r="R467" i="2"/>
  <c r="U467" i="2" s="1"/>
  <c r="V467" i="2"/>
  <c r="V291" i="2"/>
  <c r="R438" i="2"/>
  <c r="U438" i="2" s="1"/>
  <c r="Q439" i="2"/>
  <c r="W621" i="2"/>
  <c r="V617" i="2"/>
  <c r="W622" i="2"/>
  <c r="W617" i="2"/>
  <c r="W620" i="2"/>
  <c r="W618" i="2"/>
  <c r="V619" i="2"/>
  <c r="V618" i="2"/>
  <c r="W619" i="2"/>
  <c r="V493" i="2"/>
  <c r="R683" i="2"/>
  <c r="U683" i="2" s="1"/>
  <c r="Q684" i="2"/>
  <c r="Q571" i="2"/>
  <c r="R570" i="2"/>
  <c r="U570" i="2" s="1"/>
  <c r="V570" i="2"/>
  <c r="Q676" i="2"/>
  <c r="V676" i="2" s="1"/>
  <c r="R675" i="2"/>
  <c r="U675" i="2" s="1"/>
  <c r="V683" i="2"/>
  <c r="Q502" i="2"/>
  <c r="R501" i="2"/>
  <c r="U501" i="2" s="1"/>
  <c r="W450" i="2"/>
  <c r="W453" i="2"/>
  <c r="V449" i="2"/>
  <c r="V451" i="2"/>
  <c r="W449" i="2"/>
  <c r="W451" i="2"/>
  <c r="V453" i="2"/>
  <c r="V452" i="2"/>
  <c r="V450" i="2"/>
  <c r="W454" i="2"/>
  <c r="W452" i="2"/>
  <c r="Q236" i="2"/>
  <c r="R235" i="2"/>
  <c r="U235" i="2" s="1"/>
  <c r="R199" i="2"/>
  <c r="U199" i="2" s="1"/>
  <c r="Q200" i="2"/>
  <c r="V199" i="2"/>
  <c r="Q460" i="2"/>
  <c r="R459" i="2"/>
  <c r="U459" i="2" s="1"/>
  <c r="R507" i="2"/>
  <c r="U507" i="2" s="1"/>
  <c r="Q508" i="2"/>
  <c r="V507" i="2"/>
  <c r="V442" i="2"/>
  <c r="V445" i="2"/>
  <c r="W442" i="2"/>
  <c r="W444" i="2"/>
  <c r="W446" i="2"/>
  <c r="W443" i="2"/>
  <c r="V443" i="2"/>
  <c r="V444" i="2"/>
  <c r="W447" i="2"/>
  <c r="W445" i="2"/>
  <c r="Q557" i="2"/>
  <c r="R556" i="2"/>
  <c r="U556" i="2" s="1"/>
  <c r="V162" i="2"/>
  <c r="U164" i="2"/>
  <c r="V163" i="2"/>
  <c r="W166" i="2"/>
  <c r="W165" i="2"/>
  <c r="W162" i="2"/>
  <c r="U162" i="2"/>
  <c r="V164" i="2"/>
  <c r="W164" i="2"/>
  <c r="R165" i="2"/>
  <c r="U165" i="2" s="1"/>
  <c r="Q166" i="2"/>
  <c r="V165" i="2"/>
  <c r="R172" i="2"/>
  <c r="U172" i="2" s="1"/>
  <c r="V172" i="2"/>
  <c r="Q173" i="2"/>
  <c r="R157" i="2"/>
  <c r="Q158" i="2"/>
  <c r="V157" i="2"/>
  <c r="I21" i="6" l="1" a="1"/>
  <c r="I21" i="6" s="1"/>
  <c r="H21" i="6" a="1"/>
  <c r="H21" i="6" s="1"/>
  <c r="J21" i="6" a="1"/>
  <c r="J21" i="6" s="1"/>
  <c r="V433" i="2"/>
  <c r="Q629" i="2"/>
  <c r="Q285" i="2"/>
  <c r="U249" i="2"/>
  <c r="R361" i="2"/>
  <c r="U361" i="2" s="1"/>
  <c r="V628" i="2"/>
  <c r="V361" i="2"/>
  <c r="V424" i="2"/>
  <c r="Q223" i="2"/>
  <c r="R222" i="2"/>
  <c r="U222" i="2" s="1"/>
  <c r="Q671" i="2"/>
  <c r="R671" i="2" s="1"/>
  <c r="U671" i="2" s="1"/>
  <c r="V670" i="2"/>
  <c r="Q153" i="2"/>
  <c r="R153" i="2" s="1"/>
  <c r="R152" i="2"/>
  <c r="U152" i="2" s="1"/>
  <c r="R284" i="2"/>
  <c r="U284" i="2" s="1"/>
  <c r="Q327" i="2"/>
  <c r="R327" i="2" s="1"/>
  <c r="U327" i="2" s="1"/>
  <c r="V326" i="2"/>
  <c r="Q635" i="2"/>
  <c r="R635" i="2" s="1"/>
  <c r="U635" i="2" s="1"/>
  <c r="V551" i="2"/>
  <c r="Z263" i="2"/>
  <c r="V663" i="2"/>
  <c r="Q552" i="2"/>
  <c r="R552" i="2" s="1"/>
  <c r="U552" i="2" s="1"/>
  <c r="R522" i="2"/>
  <c r="U522" i="2" s="1"/>
  <c r="Z431" i="2"/>
  <c r="R634" i="2"/>
  <c r="U634" i="2" s="1"/>
  <c r="Q523" i="2"/>
  <c r="R523" i="2" s="1"/>
  <c r="U523" i="2" s="1"/>
  <c r="Z669" i="2"/>
  <c r="Q447" i="2"/>
  <c r="R446" i="2"/>
  <c r="U446" i="2" s="1"/>
  <c r="V446" i="2"/>
  <c r="V454" i="2"/>
  <c r="Z417" i="2"/>
  <c r="U157" i="2"/>
  <c r="Q664" i="2"/>
  <c r="Z452" i="2"/>
  <c r="R285" i="2"/>
  <c r="U285" i="2" s="1"/>
  <c r="V285" i="2"/>
  <c r="Q286" i="2"/>
  <c r="V396" i="2"/>
  <c r="Q397" i="2"/>
  <c r="R396" i="2"/>
  <c r="U396" i="2" s="1"/>
  <c r="Q349" i="2"/>
  <c r="R348" i="2"/>
  <c r="U348" i="2" s="1"/>
  <c r="V348" i="2"/>
  <c r="R606" i="2"/>
  <c r="U606" i="2" s="1"/>
  <c r="V606" i="2"/>
  <c r="Q607" i="2"/>
  <c r="Q642" i="2"/>
  <c r="R641" i="2"/>
  <c r="U641" i="2" s="1"/>
  <c r="V641" i="2"/>
  <c r="R333" i="2"/>
  <c r="U333" i="2" s="1"/>
  <c r="Q334" i="2"/>
  <c r="V333" i="2"/>
  <c r="R312" i="2"/>
  <c r="U312" i="2" s="1"/>
  <c r="V312" i="2"/>
  <c r="Q313" i="2"/>
  <c r="Q383" i="2"/>
  <c r="R382" i="2"/>
  <c r="U382" i="2" s="1"/>
  <c r="V382" i="2"/>
  <c r="R403" i="2"/>
  <c r="U403" i="2" s="1"/>
  <c r="V403" i="2"/>
  <c r="Q404" i="2"/>
  <c r="V242" i="2"/>
  <c r="Q243" i="2"/>
  <c r="R242" i="2"/>
  <c r="U242" i="2" s="1"/>
  <c r="Q586" i="2"/>
  <c r="R585" i="2"/>
  <c r="U585" i="2" s="1"/>
  <c r="R690" i="2"/>
  <c r="U690" i="2" s="1"/>
  <c r="Q691" i="2"/>
  <c r="V690" i="2"/>
  <c r="R488" i="2"/>
  <c r="U488" i="2" s="1"/>
  <c r="Q489" i="2"/>
  <c r="V488" i="2"/>
  <c r="R193" i="2"/>
  <c r="U193" i="2" s="1"/>
  <c r="V193" i="2"/>
  <c r="Q194" i="2"/>
  <c r="R481" i="2"/>
  <c r="U481" i="2" s="1"/>
  <c r="Q482" i="2"/>
  <c r="Q306" i="2"/>
  <c r="R305" i="2"/>
  <c r="U305" i="2" s="1"/>
  <c r="V305" i="2"/>
  <c r="V530" i="2"/>
  <c r="Q531" i="2"/>
  <c r="R530" i="2"/>
  <c r="U530" i="2" s="1"/>
  <c r="R629" i="2"/>
  <c r="U629" i="2" s="1"/>
  <c r="V629" i="2"/>
  <c r="Q621" i="2"/>
  <c r="R620" i="2"/>
  <c r="U620" i="2" s="1"/>
  <c r="R516" i="2"/>
  <c r="U516" i="2" s="1"/>
  <c r="V516" i="2"/>
  <c r="Q517" i="2"/>
  <c r="V671" i="2"/>
  <c r="Q279" i="2"/>
  <c r="R278" i="2"/>
  <c r="U278" i="2" s="1"/>
  <c r="V278" i="2"/>
  <c r="R655" i="2"/>
  <c r="U655" i="2" s="1"/>
  <c r="Q656" i="2"/>
  <c r="Q509" i="2"/>
  <c r="R508" i="2"/>
  <c r="U508" i="2" s="1"/>
  <c r="V508" i="2"/>
  <c r="R299" i="2"/>
  <c r="Q300" i="2"/>
  <c r="V299" i="2"/>
  <c r="R537" i="2"/>
  <c r="U537" i="2" s="1"/>
  <c r="Q538" i="2"/>
  <c r="V537" i="2"/>
  <c r="R354" i="2"/>
  <c r="U354" i="2" s="1"/>
  <c r="Q355" i="2"/>
  <c r="V354" i="2"/>
  <c r="R200" i="2"/>
  <c r="U200" i="2" s="1"/>
  <c r="Q201" i="2"/>
  <c r="V200" i="2"/>
  <c r="R468" i="2"/>
  <c r="U468" i="2" s="1"/>
  <c r="V468" i="2"/>
  <c r="R376" i="2"/>
  <c r="U376" i="2" s="1"/>
  <c r="Q377" i="2"/>
  <c r="V376" i="2"/>
  <c r="R411" i="2"/>
  <c r="U411" i="2" s="1"/>
  <c r="Q412" i="2"/>
  <c r="V411" i="2"/>
  <c r="R250" i="2"/>
  <c r="U250" i="2" s="1"/>
  <c r="Q251" i="2"/>
  <c r="V250" i="2"/>
  <c r="R270" i="2"/>
  <c r="U270" i="2" s="1"/>
  <c r="Q271" i="2"/>
  <c r="Q601" i="2"/>
  <c r="R600" i="2"/>
  <c r="U600" i="2" s="1"/>
  <c r="Q474" i="2"/>
  <c r="R473" i="2"/>
  <c r="U473" i="2" s="1"/>
  <c r="R439" i="2"/>
  <c r="U439" i="2" s="1"/>
  <c r="Q440" i="2"/>
  <c r="V439" i="2"/>
  <c r="Q321" i="2"/>
  <c r="R320" i="2"/>
  <c r="U320" i="2" s="1"/>
  <c r="V320" i="2"/>
  <c r="R228" i="2"/>
  <c r="U228" i="2" s="1"/>
  <c r="Q229" i="2"/>
  <c r="R544" i="2"/>
  <c r="U544" i="2" s="1"/>
  <c r="Q545" i="2"/>
  <c r="V544" i="2"/>
  <c r="Q363" i="2"/>
  <c r="R362" i="2"/>
  <c r="U362" i="2" s="1"/>
  <c r="Q258" i="2"/>
  <c r="R257" i="2"/>
  <c r="U257" i="2" s="1"/>
  <c r="V257" i="2"/>
  <c r="R593" i="2"/>
  <c r="U593" i="2" s="1"/>
  <c r="Q594" i="2"/>
  <c r="R578" i="2"/>
  <c r="U578" i="2" s="1"/>
  <c r="V578" i="2"/>
  <c r="Q579" i="2"/>
  <c r="R292" i="2"/>
  <c r="U292" i="2" s="1"/>
  <c r="Q293" i="2"/>
  <c r="V292" i="2"/>
  <c r="V425" i="2"/>
  <c r="Q426" i="2"/>
  <c r="R425" i="2"/>
  <c r="U425" i="2" s="1"/>
  <c r="R557" i="2"/>
  <c r="U557" i="2" s="1"/>
  <c r="Q558" i="2"/>
  <c r="V557" i="2"/>
  <c r="R649" i="2"/>
  <c r="U649" i="2" s="1"/>
  <c r="Q650" i="2"/>
  <c r="V649" i="2"/>
  <c r="V523" i="2"/>
  <c r="Q237" i="2"/>
  <c r="R236" i="2"/>
  <c r="U236" i="2" s="1"/>
  <c r="V236" i="2"/>
  <c r="R571" i="2"/>
  <c r="U571" i="2" s="1"/>
  <c r="Q572" i="2"/>
  <c r="V571" i="2"/>
  <c r="R390" i="2"/>
  <c r="U390" i="2" s="1"/>
  <c r="Q391" i="2"/>
  <c r="V390" i="2"/>
  <c r="V228" i="2"/>
  <c r="Q370" i="2"/>
  <c r="R369" i="2"/>
  <c r="U369" i="2" s="1"/>
  <c r="R676" i="2"/>
  <c r="U676" i="2" s="1"/>
  <c r="Q677" i="2"/>
  <c r="Q685" i="2"/>
  <c r="R684" i="2"/>
  <c r="U684" i="2" s="1"/>
  <c r="V684" i="2"/>
  <c r="R179" i="2"/>
  <c r="U179" i="2" s="1"/>
  <c r="Q180" i="2"/>
  <c r="V179" i="2"/>
  <c r="V265" i="2"/>
  <c r="R494" i="2"/>
  <c r="U494" i="2" s="1"/>
  <c r="Q495" i="2"/>
  <c r="V494" i="2"/>
  <c r="R565" i="2"/>
  <c r="U565" i="2" s="1"/>
  <c r="V565" i="2"/>
  <c r="Q566" i="2"/>
  <c r="R614" i="2"/>
  <c r="U614" i="2" s="1"/>
  <c r="Q615" i="2"/>
  <c r="Q503" i="2"/>
  <c r="R502" i="2"/>
  <c r="U502" i="2" s="1"/>
  <c r="V502" i="2"/>
  <c r="Q636" i="2"/>
  <c r="Q461" i="2"/>
  <c r="R460" i="2"/>
  <c r="U460" i="2" s="1"/>
  <c r="V460" i="2"/>
  <c r="R223" i="2"/>
  <c r="U223" i="2" s="1"/>
  <c r="V223" i="2"/>
  <c r="U209" i="2"/>
  <c r="V209" i="2"/>
  <c r="R188" i="2"/>
  <c r="U188" i="2" s="1"/>
  <c r="V188" i="2"/>
  <c r="V593" i="2"/>
  <c r="V473" i="2"/>
  <c r="V362" i="2"/>
  <c r="V369" i="2"/>
  <c r="R340" i="2"/>
  <c r="U340" i="2" s="1"/>
  <c r="Q341" i="2"/>
  <c r="V340" i="2"/>
  <c r="Q174" i="2"/>
  <c r="R173" i="2"/>
  <c r="V173" i="2"/>
  <c r="Q167" i="2"/>
  <c r="R166" i="2"/>
  <c r="V166" i="2"/>
  <c r="Q159" i="2"/>
  <c r="R158" i="2"/>
  <c r="U158" i="2" s="1"/>
  <c r="V158" i="2"/>
  <c r="K21" i="6" l="1"/>
  <c r="S21" i="6" s="1"/>
  <c r="V635" i="2"/>
  <c r="V552" i="2"/>
  <c r="U153" i="2"/>
  <c r="Z151" i="2"/>
  <c r="Q328" i="2"/>
  <c r="V328" i="2" s="1"/>
  <c r="V153" i="2"/>
  <c r="V327" i="2"/>
  <c r="Z466" i="2"/>
  <c r="Q524" i="2"/>
  <c r="R524" i="2" s="1"/>
  <c r="U524" i="2" s="1"/>
  <c r="Z221" i="2"/>
  <c r="R447" i="2"/>
  <c r="U447" i="2" s="1"/>
  <c r="V447" i="2"/>
  <c r="U173" i="2"/>
  <c r="Z186" i="2"/>
  <c r="Z438" i="2"/>
  <c r="Z627" i="2"/>
  <c r="Z207" i="2"/>
  <c r="Z550" i="2"/>
  <c r="R664" i="2"/>
  <c r="U664" i="2" s="1"/>
  <c r="V664" i="2"/>
  <c r="U166" i="2"/>
  <c r="V397" i="2"/>
  <c r="Q398" i="2"/>
  <c r="R397" i="2"/>
  <c r="U397" i="2" s="1"/>
  <c r="R286" i="2"/>
  <c r="U286" i="2" s="1"/>
  <c r="V286" i="2"/>
  <c r="V586" i="2"/>
  <c r="Q587" i="2"/>
  <c r="R586" i="2"/>
  <c r="U586" i="2" s="1"/>
  <c r="Q335" i="2"/>
  <c r="V334" i="2"/>
  <c r="R334" i="2"/>
  <c r="U334" i="2" s="1"/>
  <c r="V642" i="2"/>
  <c r="Q643" i="2"/>
  <c r="R642" i="2"/>
  <c r="U642" i="2" s="1"/>
  <c r="R349" i="2"/>
  <c r="U349" i="2" s="1"/>
  <c r="V349" i="2"/>
  <c r="V313" i="2"/>
  <c r="R313" i="2"/>
  <c r="U313" i="2" s="1"/>
  <c r="Q314" i="2"/>
  <c r="R482" i="2"/>
  <c r="U482" i="2" s="1"/>
  <c r="V482" i="2"/>
  <c r="Q244" i="2"/>
  <c r="R243" i="2"/>
  <c r="U243" i="2" s="1"/>
  <c r="V243" i="2"/>
  <c r="R489" i="2"/>
  <c r="U489" i="2" s="1"/>
  <c r="V489" i="2"/>
  <c r="R383" i="2"/>
  <c r="U383" i="2" s="1"/>
  <c r="Q384" i="2"/>
  <c r="V383" i="2"/>
  <c r="V404" i="2"/>
  <c r="Q405" i="2"/>
  <c r="R404" i="2"/>
  <c r="U404" i="2" s="1"/>
  <c r="V194" i="2"/>
  <c r="Q195" i="2"/>
  <c r="R194" i="2"/>
  <c r="U194" i="2" s="1"/>
  <c r="Q307" i="2"/>
  <c r="R306" i="2"/>
  <c r="U306" i="2" s="1"/>
  <c r="V306" i="2"/>
  <c r="V691" i="2"/>
  <c r="Q692" i="2"/>
  <c r="R691" i="2"/>
  <c r="U691" i="2" s="1"/>
  <c r="R531" i="2"/>
  <c r="U531" i="2" s="1"/>
  <c r="V531" i="2"/>
  <c r="V607" i="2"/>
  <c r="R607" i="2"/>
  <c r="U607" i="2" s="1"/>
  <c r="Q608" i="2"/>
  <c r="R594" i="2"/>
  <c r="U594" i="2" s="1"/>
  <c r="V594" i="2"/>
  <c r="R615" i="2"/>
  <c r="U615" i="2" s="1"/>
  <c r="V615" i="2"/>
  <c r="R650" i="2"/>
  <c r="U650" i="2" s="1"/>
  <c r="V650" i="2"/>
  <c r="R363" i="2"/>
  <c r="U363" i="2" s="1"/>
  <c r="V363" i="2"/>
  <c r="R321" i="2"/>
  <c r="U321" i="2" s="1"/>
  <c r="V321" i="2"/>
  <c r="R636" i="2"/>
  <c r="U636" i="2" s="1"/>
  <c r="V636" i="2"/>
  <c r="R180" i="2"/>
  <c r="U180" i="2" s="1"/>
  <c r="Q181" i="2"/>
  <c r="V180" i="2"/>
  <c r="R558" i="2"/>
  <c r="U558" i="2" s="1"/>
  <c r="Q559" i="2"/>
  <c r="V558" i="2"/>
  <c r="R426" i="2"/>
  <c r="U426" i="2" s="1"/>
  <c r="V426" i="2"/>
  <c r="R258" i="2"/>
  <c r="U258" i="2" s="1"/>
  <c r="V258" i="2"/>
  <c r="Q496" i="2"/>
  <c r="R495" i="2"/>
  <c r="U495" i="2" s="1"/>
  <c r="V495" i="2"/>
  <c r="R685" i="2"/>
  <c r="U685" i="2" s="1"/>
  <c r="V685" i="2"/>
  <c r="Q678" i="2"/>
  <c r="R677" i="2"/>
  <c r="U677" i="2" s="1"/>
  <c r="V677" i="2"/>
  <c r="Q573" i="2"/>
  <c r="R572" i="2"/>
  <c r="U572" i="2" s="1"/>
  <c r="V572" i="2"/>
  <c r="V579" i="2"/>
  <c r="Q580" i="2"/>
  <c r="R579" i="2"/>
  <c r="U579" i="2" s="1"/>
  <c r="R545" i="2"/>
  <c r="U545" i="2" s="1"/>
  <c r="V545" i="2"/>
  <c r="R440" i="2"/>
  <c r="U440" i="2" s="1"/>
  <c r="V440" i="2"/>
  <c r="R601" i="2"/>
  <c r="U601" i="2" s="1"/>
  <c r="V601" i="2"/>
  <c r="R251" i="2"/>
  <c r="U251" i="2" s="1"/>
  <c r="V251" i="2"/>
  <c r="R538" i="2"/>
  <c r="U538" i="2" s="1"/>
  <c r="V538" i="2"/>
  <c r="R370" i="2"/>
  <c r="U370" i="2" s="1"/>
  <c r="V370" i="2"/>
  <c r="Q510" i="2"/>
  <c r="R509" i="2"/>
  <c r="U509" i="2" s="1"/>
  <c r="V509" i="2"/>
  <c r="R517" i="2"/>
  <c r="U517" i="2" s="1"/>
  <c r="V517" i="2"/>
  <c r="Q622" i="2"/>
  <c r="R621" i="2"/>
  <c r="U621" i="2" s="1"/>
  <c r="V621" i="2"/>
  <c r="R229" i="2"/>
  <c r="U229" i="2" s="1"/>
  <c r="Q230" i="2"/>
  <c r="V229" i="2"/>
  <c r="R474" i="2"/>
  <c r="U474" i="2" s="1"/>
  <c r="Q475" i="2"/>
  <c r="V474" i="2"/>
  <c r="R271" i="2"/>
  <c r="U271" i="2" s="1"/>
  <c r="Q272" i="2"/>
  <c r="V271" i="2"/>
  <c r="R300" i="2"/>
  <c r="V300" i="2"/>
  <c r="Q657" i="2"/>
  <c r="R656" i="2"/>
  <c r="U656" i="2" s="1"/>
  <c r="V656" i="2"/>
  <c r="R279" i="2"/>
  <c r="U279" i="2" s="1"/>
  <c r="V279" i="2"/>
  <c r="R391" i="2"/>
  <c r="U391" i="2" s="1"/>
  <c r="V391" i="2"/>
  <c r="R412" i="2"/>
  <c r="U412" i="2" s="1"/>
  <c r="V412" i="2"/>
  <c r="R377" i="2"/>
  <c r="U377" i="2" s="1"/>
  <c r="V377" i="2"/>
  <c r="Q356" i="2"/>
  <c r="R355" i="2"/>
  <c r="U355" i="2" s="1"/>
  <c r="V355" i="2"/>
  <c r="R566" i="2"/>
  <c r="U566" i="2" s="1"/>
  <c r="V566" i="2"/>
  <c r="R328" i="2"/>
  <c r="U328" i="2" s="1"/>
  <c r="R503" i="2"/>
  <c r="U503" i="2" s="1"/>
  <c r="V503" i="2"/>
  <c r="R293" i="2"/>
  <c r="U293" i="2" s="1"/>
  <c r="V293" i="2"/>
  <c r="R201" i="2"/>
  <c r="U201" i="2" s="1"/>
  <c r="V201" i="2"/>
  <c r="Q202" i="2"/>
  <c r="R461" i="2"/>
  <c r="U461" i="2" s="1"/>
  <c r="V461" i="2"/>
  <c r="Q342" i="2"/>
  <c r="R341" i="2"/>
  <c r="U341" i="2" s="1"/>
  <c r="V341" i="2"/>
  <c r="R237" i="2"/>
  <c r="U237" i="2" s="1"/>
  <c r="V237" i="2"/>
  <c r="R167" i="2"/>
  <c r="U167" i="2" s="1"/>
  <c r="V167" i="2"/>
  <c r="R174" i="2"/>
  <c r="U174" i="2" s="1"/>
  <c r="V174" i="2"/>
  <c r="R159" i="2"/>
  <c r="Q160" i="2"/>
  <c r="V159" i="2"/>
  <c r="F140" i="2"/>
  <c r="F126" i="2"/>
  <c r="V21" i="6" l="1"/>
  <c r="V524" i="2"/>
  <c r="Z522" i="2"/>
  <c r="Z277" i="2"/>
  <c r="Z319" i="2"/>
  <c r="Z480" i="2"/>
  <c r="Z564" i="2"/>
  <c r="Z347" i="2"/>
  <c r="Z543" i="2"/>
  <c r="Z249" i="2"/>
  <c r="Z165" i="2"/>
  <c r="Z487" i="2"/>
  <c r="Z256" i="2"/>
  <c r="Z410" i="2"/>
  <c r="Z389" i="2"/>
  <c r="Z375" i="2"/>
  <c r="Z298" i="2"/>
  <c r="Z599" i="2"/>
  <c r="Z529" i="2"/>
  <c r="Z424" i="2"/>
  <c r="Z662" i="2"/>
  <c r="Z578" i="2"/>
  <c r="Z613" i="2"/>
  <c r="Z291" i="2"/>
  <c r="R21" i="6" s="1"/>
  <c r="Z284" i="2"/>
  <c r="Z683" i="2"/>
  <c r="Z445" i="2"/>
  <c r="U159" i="2"/>
  <c r="Z361" i="2"/>
  <c r="Z501" i="2"/>
  <c r="Z648" i="2"/>
  <c r="Z634" i="2"/>
  <c r="Z592" i="2"/>
  <c r="Z368" i="2"/>
  <c r="Z515" i="2"/>
  <c r="Z172" i="2"/>
  <c r="Z459" i="2"/>
  <c r="Z536" i="2"/>
  <c r="Z655" i="2"/>
  <c r="Z235" i="2"/>
  <c r="Z214" i="2"/>
  <c r="Z326" i="2"/>
  <c r="R398" i="2"/>
  <c r="U398" i="2" s="1"/>
  <c r="V398" i="2"/>
  <c r="R643" i="2"/>
  <c r="U643" i="2" s="1"/>
  <c r="V643" i="2"/>
  <c r="R384" i="2"/>
  <c r="U384" i="2" s="1"/>
  <c r="V384" i="2"/>
  <c r="R692" i="2"/>
  <c r="U692" i="2" s="1"/>
  <c r="V692" i="2"/>
  <c r="R314" i="2"/>
  <c r="U314" i="2" s="1"/>
  <c r="V314" i="2"/>
  <c r="R608" i="2"/>
  <c r="U608" i="2" s="1"/>
  <c r="V608" i="2"/>
  <c r="R307" i="2"/>
  <c r="U307" i="2" s="1"/>
  <c r="V307" i="2"/>
  <c r="R244" i="2"/>
  <c r="U244" i="2" s="1"/>
  <c r="V244" i="2"/>
  <c r="R335" i="2"/>
  <c r="U335" i="2" s="1"/>
  <c r="V335" i="2"/>
  <c r="R587" i="2"/>
  <c r="U587" i="2" s="1"/>
  <c r="V587" i="2"/>
  <c r="R195" i="2"/>
  <c r="U195" i="2" s="1"/>
  <c r="V195" i="2"/>
  <c r="R405" i="2"/>
  <c r="U405" i="2" s="1"/>
  <c r="V405" i="2"/>
  <c r="R657" i="2"/>
  <c r="U657" i="2" s="1"/>
  <c r="V657" i="2"/>
  <c r="R342" i="2"/>
  <c r="U342" i="2" s="1"/>
  <c r="V342" i="2"/>
  <c r="R510" i="2"/>
  <c r="U510" i="2" s="1"/>
  <c r="V510" i="2"/>
  <c r="R496" i="2"/>
  <c r="U496" i="2" s="1"/>
  <c r="V496" i="2"/>
  <c r="R622" i="2"/>
  <c r="U622" i="2" s="1"/>
  <c r="V622" i="2"/>
  <c r="V573" i="2"/>
  <c r="R573" i="2"/>
  <c r="U573" i="2" s="1"/>
  <c r="R559" i="2"/>
  <c r="U559" i="2" s="1"/>
  <c r="V559" i="2"/>
  <c r="V580" i="2"/>
  <c r="R580" i="2"/>
  <c r="U580" i="2" s="1"/>
  <c r="R272" i="2"/>
  <c r="U272" i="2" s="1"/>
  <c r="V272" i="2"/>
  <c r="R202" i="2"/>
  <c r="U202" i="2" s="1"/>
  <c r="V202" i="2"/>
  <c r="R475" i="2"/>
  <c r="U475" i="2" s="1"/>
  <c r="V475" i="2"/>
  <c r="R356" i="2"/>
  <c r="U356" i="2" s="1"/>
  <c r="V356" i="2"/>
  <c r="R230" i="2"/>
  <c r="U230" i="2" s="1"/>
  <c r="V230" i="2"/>
  <c r="R678" i="2"/>
  <c r="U678" i="2" s="1"/>
  <c r="V678" i="2"/>
  <c r="R181" i="2"/>
  <c r="U181" i="2" s="1"/>
  <c r="V181" i="2"/>
  <c r="R160" i="2"/>
  <c r="U160" i="2" s="1"/>
  <c r="V160" i="2"/>
  <c r="Q107" i="2"/>
  <c r="R107" i="2" s="1"/>
  <c r="Q108" i="2"/>
  <c r="F112" i="2"/>
  <c r="J109" i="2" s="1"/>
  <c r="H112" i="2"/>
  <c r="Q114" i="2"/>
  <c r="R114" i="2" s="1"/>
  <c r="Q100" i="2"/>
  <c r="H98" i="2"/>
  <c r="F98" i="2"/>
  <c r="J95" i="2" s="1"/>
  <c r="Q93" i="2"/>
  <c r="R93" i="2" s="1"/>
  <c r="Q121" i="2"/>
  <c r="J123" i="2"/>
  <c r="U120" i="2" s="1"/>
  <c r="H126" i="2"/>
  <c r="Q128" i="2"/>
  <c r="J130" i="2"/>
  <c r="Q135" i="2"/>
  <c r="J137" i="2"/>
  <c r="W138" i="2"/>
  <c r="H140" i="2"/>
  <c r="Q142" i="2"/>
  <c r="R142" i="2" s="1"/>
  <c r="J144" i="2"/>
  <c r="V141" i="2" s="1"/>
  <c r="Q23" i="2"/>
  <c r="Q24" i="2" s="1"/>
  <c r="Q25" i="2" s="1"/>
  <c r="Q26" i="2" s="1"/>
  <c r="Q27" i="2" s="1"/>
  <c r="F28" i="2"/>
  <c r="J32" i="2" s="1"/>
  <c r="U31" i="2" s="1"/>
  <c r="H28" i="2"/>
  <c r="Q30" i="2"/>
  <c r="Q31" i="2" s="1"/>
  <c r="Q32" i="2" s="1"/>
  <c r="Q33" i="2" s="1"/>
  <c r="Q34" i="2" s="1"/>
  <c r="Q37" i="2"/>
  <c r="Q38" i="2" s="1"/>
  <c r="A42" i="2"/>
  <c r="F42" i="2"/>
  <c r="J39" i="2" s="1"/>
  <c r="H42" i="2"/>
  <c r="Q44" i="2"/>
  <c r="Q51" i="2"/>
  <c r="F56" i="2"/>
  <c r="H56" i="2"/>
  <c r="Q58" i="2"/>
  <c r="L60" i="2"/>
  <c r="Q65" i="2"/>
  <c r="F70" i="2"/>
  <c r="H70" i="2"/>
  <c r="Q72" i="2"/>
  <c r="Q79" i="2"/>
  <c r="F84" i="2"/>
  <c r="J81" i="2" s="1"/>
  <c r="W78" i="2" s="1"/>
  <c r="H84" i="2"/>
  <c r="Q86" i="2"/>
  <c r="Z396" i="2" l="1"/>
  <c r="Z312" i="2"/>
  <c r="Z340" i="2"/>
  <c r="Z606" i="2"/>
  <c r="Z354" i="2"/>
  <c r="Z494" i="2"/>
  <c r="Z571" i="2"/>
  <c r="Z557" i="2"/>
  <c r="Z305" i="2"/>
  <c r="Z200" i="2"/>
  <c r="Z228" i="2"/>
  <c r="Z641" i="2"/>
  <c r="Z473" i="2"/>
  <c r="Z158" i="2"/>
  <c r="Z690" i="2"/>
  <c r="Z242" i="2"/>
  <c r="Z403" i="2"/>
  <c r="Z193" i="2"/>
  <c r="Z179" i="2"/>
  <c r="Z382" i="2"/>
  <c r="Z508" i="2"/>
  <c r="Z270" i="2"/>
  <c r="Z620" i="2"/>
  <c r="Z333" i="2"/>
  <c r="Z676" i="2"/>
  <c r="Z585" i="2"/>
  <c r="V93" i="2"/>
  <c r="W93" i="2"/>
  <c r="W96" i="2"/>
  <c r="U92" i="2"/>
  <c r="W94" i="2"/>
  <c r="V92" i="2"/>
  <c r="W97" i="2"/>
  <c r="W92" i="2"/>
  <c r="U93" i="2"/>
  <c r="W95" i="2"/>
  <c r="J116" i="2"/>
  <c r="V114" i="2" s="1"/>
  <c r="A56" i="2"/>
  <c r="A70" i="2" s="1"/>
  <c r="A84" i="2" s="1"/>
  <c r="A98" i="2" s="1"/>
  <c r="A112" i="2" s="1"/>
  <c r="W146" i="2"/>
  <c r="W145" i="2"/>
  <c r="U141" i="2"/>
  <c r="W144" i="2"/>
  <c r="V128" i="2"/>
  <c r="Q143" i="2"/>
  <c r="R143" i="2" s="1"/>
  <c r="U143" i="2" s="1"/>
  <c r="Q136" i="2"/>
  <c r="V136" i="2" s="1"/>
  <c r="R135" i="2"/>
  <c r="Q87" i="2"/>
  <c r="R86" i="2"/>
  <c r="Q59" i="2"/>
  <c r="R58" i="2"/>
  <c r="J102" i="2"/>
  <c r="Q80" i="2"/>
  <c r="V80" i="2" s="1"/>
  <c r="R79" i="2"/>
  <c r="Q122" i="2"/>
  <c r="V122" i="2" s="1"/>
  <c r="R121" i="2"/>
  <c r="Q101" i="2"/>
  <c r="R101" i="2" s="1"/>
  <c r="R100" i="2"/>
  <c r="Q115" i="2"/>
  <c r="Q109" i="2"/>
  <c r="V109" i="2" s="1"/>
  <c r="R108" i="2"/>
  <c r="U108" i="2" s="1"/>
  <c r="Q66" i="2"/>
  <c r="R65" i="2"/>
  <c r="Q129" i="2"/>
  <c r="R128" i="2"/>
  <c r="Q39" i="2"/>
  <c r="V39" i="2" s="1"/>
  <c r="R38" i="2"/>
  <c r="Q73" i="2"/>
  <c r="R72" i="2"/>
  <c r="Q52" i="2"/>
  <c r="R51" i="2"/>
  <c r="Q45" i="2"/>
  <c r="R44" i="2"/>
  <c r="V135" i="2"/>
  <c r="Q94" i="2"/>
  <c r="V94" i="2" s="1"/>
  <c r="U134" i="2"/>
  <c r="W142" i="2"/>
  <c r="V142" i="2"/>
  <c r="U142" i="2"/>
  <c r="W136" i="2"/>
  <c r="W143" i="2"/>
  <c r="W141" i="2"/>
  <c r="W134" i="2"/>
  <c r="W124" i="2"/>
  <c r="W129" i="2"/>
  <c r="V121" i="2"/>
  <c r="W127" i="2"/>
  <c r="U127" i="2"/>
  <c r="W131" i="2"/>
  <c r="U106" i="2"/>
  <c r="U107" i="2"/>
  <c r="V107" i="2"/>
  <c r="W109" i="2"/>
  <c r="W111" i="2"/>
  <c r="W110" i="2"/>
  <c r="W107" i="2"/>
  <c r="W108" i="2"/>
  <c r="W106" i="2"/>
  <c r="V108" i="2"/>
  <c r="V106" i="2"/>
  <c r="A126" i="2"/>
  <c r="A140" i="2" s="1"/>
  <c r="A154" i="2" s="1"/>
  <c r="A168" i="2" s="1"/>
  <c r="W125" i="2"/>
  <c r="W123" i="2"/>
  <c r="W121" i="2"/>
  <c r="V134" i="2"/>
  <c r="V127" i="2"/>
  <c r="W139" i="2"/>
  <c r="W137" i="2"/>
  <c r="W132" i="2"/>
  <c r="W130" i="2"/>
  <c r="W122" i="2"/>
  <c r="W120" i="2"/>
  <c r="W135" i="2"/>
  <c r="W128" i="2"/>
  <c r="V120" i="2"/>
  <c r="W38" i="2"/>
  <c r="W40" i="2"/>
  <c r="J53" i="2"/>
  <c r="V51" i="2" s="1"/>
  <c r="J60" i="2"/>
  <c r="J88" i="2"/>
  <c r="W86" i="2" s="1"/>
  <c r="J46" i="2"/>
  <c r="W46" i="2" s="1"/>
  <c r="W80" i="2"/>
  <c r="U78" i="2"/>
  <c r="W79" i="2"/>
  <c r="W82" i="2"/>
  <c r="V79" i="2"/>
  <c r="W39" i="2"/>
  <c r="U34" i="2"/>
  <c r="U30" i="2"/>
  <c r="U33" i="2"/>
  <c r="V29" i="2"/>
  <c r="U32" i="2"/>
  <c r="J74" i="2"/>
  <c r="J67" i="2"/>
  <c r="V78" i="2"/>
  <c r="V38" i="2"/>
  <c r="J25" i="2"/>
  <c r="W83" i="2"/>
  <c r="W81" i="2"/>
  <c r="W41" i="2"/>
  <c r="W114" i="2" l="1"/>
  <c r="U114" i="2"/>
  <c r="V59" i="2"/>
  <c r="A182" i="2"/>
  <c r="W117" i="2"/>
  <c r="W113" i="2"/>
  <c r="V115" i="2"/>
  <c r="V113" i="2"/>
  <c r="W89" i="2"/>
  <c r="U128" i="2"/>
  <c r="U121" i="2"/>
  <c r="U79" i="2"/>
  <c r="W115" i="2"/>
  <c r="W116" i="2"/>
  <c r="U135" i="2"/>
  <c r="U38" i="2"/>
  <c r="W118" i="2"/>
  <c r="U113" i="2"/>
  <c r="U57" i="2"/>
  <c r="W99" i="2"/>
  <c r="U100" i="2"/>
  <c r="V100" i="2"/>
  <c r="W100" i="2"/>
  <c r="U101" i="2"/>
  <c r="V101" i="2"/>
  <c r="U99" i="2"/>
  <c r="W101" i="2"/>
  <c r="V99" i="2"/>
  <c r="W90" i="2"/>
  <c r="W61" i="2"/>
  <c r="Q144" i="2"/>
  <c r="Q145" i="2" s="1"/>
  <c r="R145" i="2" s="1"/>
  <c r="U145" i="2" s="1"/>
  <c r="W57" i="2"/>
  <c r="V58" i="2"/>
  <c r="W59" i="2"/>
  <c r="W102" i="2"/>
  <c r="V143" i="2"/>
  <c r="W62" i="2"/>
  <c r="W52" i="2"/>
  <c r="V52" i="2"/>
  <c r="Q102" i="2"/>
  <c r="V102" i="2" s="1"/>
  <c r="V50" i="2"/>
  <c r="W47" i="2"/>
  <c r="U43" i="2"/>
  <c r="Q53" i="2"/>
  <c r="V53" i="2" s="1"/>
  <c r="R52" i="2"/>
  <c r="U52" i="2" s="1"/>
  <c r="Q130" i="2"/>
  <c r="R129" i="2"/>
  <c r="U129" i="2" s="1"/>
  <c r="Q103" i="2"/>
  <c r="W44" i="2"/>
  <c r="W58" i="2"/>
  <c r="W60" i="2"/>
  <c r="V44" i="2"/>
  <c r="Q67" i="2"/>
  <c r="V67" i="2" s="1"/>
  <c r="R66" i="2"/>
  <c r="U66" i="2" s="1"/>
  <c r="Q123" i="2"/>
  <c r="R122" i="2"/>
  <c r="U122" i="2" s="1"/>
  <c r="Q88" i="2"/>
  <c r="R87" i="2"/>
  <c r="U87" i="2" s="1"/>
  <c r="V45" i="2"/>
  <c r="R94" i="2"/>
  <c r="Q95" i="2"/>
  <c r="V95" i="2" s="1"/>
  <c r="Q74" i="2"/>
  <c r="V74" i="2" s="1"/>
  <c r="R73" i="2"/>
  <c r="U73" i="2" s="1"/>
  <c r="Q60" i="2"/>
  <c r="R59" i="2"/>
  <c r="U59" i="2" s="1"/>
  <c r="W43" i="2"/>
  <c r="U44" i="2"/>
  <c r="U86" i="2"/>
  <c r="W55" i="2"/>
  <c r="U50" i="2"/>
  <c r="V43" i="2"/>
  <c r="U58" i="2"/>
  <c r="V57" i="2"/>
  <c r="V129" i="2"/>
  <c r="Q46" i="2"/>
  <c r="V46" i="2" s="1"/>
  <c r="R45" i="2"/>
  <c r="U45" i="2" s="1"/>
  <c r="Q40" i="2"/>
  <c r="R39" i="2"/>
  <c r="Q110" i="2"/>
  <c r="R109" i="2"/>
  <c r="Q81" i="2"/>
  <c r="R80" i="2"/>
  <c r="U80" i="2" s="1"/>
  <c r="R115" i="2"/>
  <c r="Q116" i="2"/>
  <c r="W104" i="2"/>
  <c r="W103" i="2"/>
  <c r="Q137" i="2"/>
  <c r="R136" i="2"/>
  <c r="U136" i="2" s="1"/>
  <c r="U51" i="2"/>
  <c r="W54" i="2"/>
  <c r="W50" i="2"/>
  <c r="W53" i="2"/>
  <c r="W51" i="2"/>
  <c r="W48" i="2"/>
  <c r="W45" i="2"/>
  <c r="V86" i="2"/>
  <c r="W85" i="2"/>
  <c r="U85" i="2"/>
  <c r="W88" i="2"/>
  <c r="V87" i="2"/>
  <c r="V85" i="2"/>
  <c r="W87" i="2"/>
  <c r="U22" i="2"/>
  <c r="V22" i="2"/>
  <c r="U25" i="2"/>
  <c r="V31" i="2"/>
  <c r="V25" i="2"/>
  <c r="V23" i="2"/>
  <c r="U24" i="2"/>
  <c r="V26" i="2"/>
  <c r="V32" i="2"/>
  <c r="V24" i="2"/>
  <c r="U27" i="2"/>
  <c r="V33" i="2"/>
  <c r="V34" i="2"/>
  <c r="V30" i="2"/>
  <c r="V27" i="2"/>
  <c r="U26" i="2"/>
  <c r="W75" i="2"/>
  <c r="U72" i="2"/>
  <c r="W74" i="2"/>
  <c r="W76" i="2"/>
  <c r="V71" i="2"/>
  <c r="V73" i="2"/>
  <c r="U71" i="2"/>
  <c r="W72" i="2"/>
  <c r="W71" i="2"/>
  <c r="W73" i="2"/>
  <c r="V72" i="2"/>
  <c r="W65" i="2"/>
  <c r="W67" i="2"/>
  <c r="W69" i="2"/>
  <c r="W64" i="2"/>
  <c r="W66" i="2"/>
  <c r="U65" i="2"/>
  <c r="V65" i="2"/>
  <c r="W68" i="2"/>
  <c r="U64" i="2"/>
  <c r="V64" i="2"/>
  <c r="V66" i="2"/>
  <c r="A196" i="2" l="1"/>
  <c r="U39" i="2"/>
  <c r="U109" i="2"/>
  <c r="V145" i="2"/>
  <c r="U115" i="2"/>
  <c r="U94" i="2"/>
  <c r="Q146" i="2"/>
  <c r="V146" i="2" s="1"/>
  <c r="R144" i="2"/>
  <c r="V144" i="2"/>
  <c r="R102" i="2"/>
  <c r="Q82" i="2"/>
  <c r="R81" i="2"/>
  <c r="V81" i="2"/>
  <c r="Q75" i="2"/>
  <c r="R74" i="2"/>
  <c r="U74" i="2" s="1"/>
  <c r="Q89" i="2"/>
  <c r="R88" i="2"/>
  <c r="U88" i="2" s="1"/>
  <c r="V88" i="2"/>
  <c r="Q131" i="2"/>
  <c r="R130" i="2"/>
  <c r="U130" i="2" s="1"/>
  <c r="V130" i="2"/>
  <c r="Q96" i="2"/>
  <c r="V96" i="2" s="1"/>
  <c r="R95" i="2"/>
  <c r="Q111" i="2"/>
  <c r="R110" i="2"/>
  <c r="U110" i="2" s="1"/>
  <c r="V110" i="2"/>
  <c r="Q124" i="2"/>
  <c r="R123" i="2"/>
  <c r="V123" i="2"/>
  <c r="Q54" i="2"/>
  <c r="R53" i="2"/>
  <c r="Q138" i="2"/>
  <c r="R137" i="2"/>
  <c r="V137" i="2"/>
  <c r="R40" i="2"/>
  <c r="U40" i="2" s="1"/>
  <c r="V40" i="2"/>
  <c r="Q41" i="2"/>
  <c r="Q61" i="2"/>
  <c r="R60" i="2"/>
  <c r="U60" i="2" s="1"/>
  <c r="V60" i="2"/>
  <c r="Q68" i="2"/>
  <c r="R67" i="2"/>
  <c r="Q117" i="2"/>
  <c r="R116" i="2"/>
  <c r="U116" i="2" s="1"/>
  <c r="V116" i="2"/>
  <c r="Q104" i="2"/>
  <c r="R103" i="2"/>
  <c r="U103" i="2" s="1"/>
  <c r="V103" i="2"/>
  <c r="Q47" i="2"/>
  <c r="R46" i="2"/>
  <c r="U81" i="2" l="1"/>
  <c r="A210" i="2"/>
  <c r="U95" i="2"/>
  <c r="R146" i="2"/>
  <c r="U146" i="2" s="1"/>
  <c r="U102" i="2"/>
  <c r="U53" i="2"/>
  <c r="U144" i="2"/>
  <c r="U67" i="2"/>
  <c r="U137" i="2"/>
  <c r="U123" i="2"/>
  <c r="R104" i="2"/>
  <c r="U104" i="2" s="1"/>
  <c r="V104" i="2"/>
  <c r="Q62" i="2"/>
  <c r="R61" i="2"/>
  <c r="U61" i="2" s="1"/>
  <c r="V61" i="2"/>
  <c r="Q55" i="2"/>
  <c r="R54" i="2"/>
  <c r="U54" i="2" s="1"/>
  <c r="V54" i="2"/>
  <c r="V41" i="2"/>
  <c r="R41" i="2"/>
  <c r="Q90" i="2"/>
  <c r="V90" i="2" s="1"/>
  <c r="R89" i="2"/>
  <c r="U89" i="2" s="1"/>
  <c r="V89" i="2"/>
  <c r="R117" i="2"/>
  <c r="V117" i="2"/>
  <c r="Q118" i="2"/>
  <c r="Q125" i="2"/>
  <c r="R124" i="2"/>
  <c r="U124" i="2" s="1"/>
  <c r="V124" i="2"/>
  <c r="Q76" i="2"/>
  <c r="R75" i="2"/>
  <c r="U75" i="2" s="1"/>
  <c r="V75" i="2"/>
  <c r="U46" i="2"/>
  <c r="U47" i="2"/>
  <c r="Q97" i="2"/>
  <c r="V97" i="2" s="1"/>
  <c r="R96" i="2"/>
  <c r="U96" i="2" s="1"/>
  <c r="Q48" i="2"/>
  <c r="R47" i="2"/>
  <c r="V47" i="2"/>
  <c r="Q69" i="2"/>
  <c r="R68" i="2"/>
  <c r="U68" i="2" s="1"/>
  <c r="V68" i="2"/>
  <c r="Q139" i="2"/>
  <c r="R138" i="2"/>
  <c r="U138" i="2" s="1"/>
  <c r="V138" i="2"/>
  <c r="R111" i="2"/>
  <c r="V111" i="2"/>
  <c r="Q132" i="2"/>
  <c r="R131" i="2"/>
  <c r="U131" i="2" s="1"/>
  <c r="V131" i="2"/>
  <c r="Q83" i="2"/>
  <c r="R82" i="2"/>
  <c r="U82" i="2" s="1"/>
  <c r="V82" i="2"/>
  <c r="Z144" i="2" l="1"/>
  <c r="A224" i="2"/>
  <c r="U117" i="2"/>
  <c r="U111" i="2"/>
  <c r="Z109" i="2"/>
  <c r="U41" i="2"/>
  <c r="Z39" i="2"/>
  <c r="Z102" i="2"/>
  <c r="V118" i="2"/>
  <c r="R118" i="2"/>
  <c r="U118" i="2" s="1"/>
  <c r="R55" i="2"/>
  <c r="V55" i="2"/>
  <c r="R48" i="2"/>
  <c r="V48" i="2"/>
  <c r="R76" i="2"/>
  <c r="V76" i="2"/>
  <c r="R90" i="2"/>
  <c r="R62" i="2"/>
  <c r="V62" i="2"/>
  <c r="R83" i="2"/>
  <c r="V83" i="2"/>
  <c r="R139" i="2"/>
  <c r="V139" i="2"/>
  <c r="R132" i="2"/>
  <c r="V132" i="2"/>
  <c r="R69" i="2"/>
  <c r="U69" i="2" s="1"/>
  <c r="V69" i="2"/>
  <c r="R97" i="2"/>
  <c r="R125" i="2"/>
  <c r="V125" i="2"/>
  <c r="A238" i="2" l="1"/>
  <c r="Z116" i="2"/>
  <c r="U132" i="2"/>
  <c r="Z130" i="2"/>
  <c r="U76" i="2"/>
  <c r="Z74" i="2"/>
  <c r="U139" i="2"/>
  <c r="Z137" i="2"/>
  <c r="U125" i="2"/>
  <c r="Z123" i="2"/>
  <c r="U48" i="2"/>
  <c r="Z46" i="2"/>
  <c r="U55" i="2"/>
  <c r="Z53" i="2"/>
  <c r="U62" i="2"/>
  <c r="Z60" i="2"/>
  <c r="U97" i="2"/>
  <c r="Z95" i="2"/>
  <c r="U83" i="2"/>
  <c r="Z81" i="2"/>
  <c r="U90" i="2"/>
  <c r="Z88" i="2"/>
  <c r="Z67" i="2"/>
  <c r="A252" i="2" l="1"/>
  <c r="A266" i="2" l="1"/>
  <c r="A280" i="2" l="1"/>
  <c r="A294" i="2" s="1"/>
  <c r="A308" i="2" s="1"/>
  <c r="A322" i="2"/>
  <c r="A336" i="2" l="1"/>
  <c r="A350" i="2" l="1"/>
  <c r="A364" i="2" l="1"/>
  <c r="A378" i="2" l="1"/>
  <c r="A392" i="2" l="1"/>
  <c r="A406" i="2" l="1"/>
  <c r="A420" i="2" l="1"/>
  <c r="A434" i="2" s="1"/>
  <c r="A448" i="2" s="1"/>
  <c r="A462" i="2" s="1"/>
  <c r="A476" i="2" s="1"/>
  <c r="A490" i="2" s="1"/>
  <c r="A504" i="2" s="1"/>
  <c r="A518" i="2" s="1"/>
  <c r="A532" i="2" s="1"/>
  <c r="A546" i="2" s="1"/>
  <c r="A560" i="2" s="1"/>
  <c r="A574" i="2" s="1"/>
  <c r="A588" i="2" s="1"/>
  <c r="A602" i="2" s="1"/>
  <c r="A616" i="2" s="1"/>
  <c r="A630" i="2" s="1"/>
  <c r="A644" i="2" s="1"/>
  <c r="A658" i="2" s="1"/>
  <c r="A672" i="2" s="1"/>
  <c r="A686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<sst xmlns="http://schemas.openxmlformats.org/spreadsheetml/2006/main" count="2104" uniqueCount="66">
  <si>
    <t>RR</t>
  </si>
  <si>
    <t>ΔP</t>
  </si>
  <si>
    <t>PEEP</t>
  </si>
  <si>
    <t>Sex</t>
  </si>
  <si>
    <t>F</t>
  </si>
  <si>
    <t>M</t>
  </si>
  <si>
    <t>EtCO2</t>
  </si>
  <si>
    <t>Age</t>
  </si>
  <si>
    <t>N°Patient</t>
  </si>
  <si>
    <t>Height(cm)</t>
  </si>
  <si>
    <t>PBW(kg)</t>
  </si>
  <si>
    <t>Weight (Kg)</t>
  </si>
  <si>
    <t>PAM ini</t>
  </si>
  <si>
    <t>VT</t>
  </si>
  <si>
    <t>VT à 7ml/kg</t>
  </si>
  <si>
    <t>VT à 9ml/kg</t>
  </si>
  <si>
    <t xml:space="preserve">RECRUITEMENT PEEP 30 20s </t>
  </si>
  <si>
    <t>ΔP ini</t>
  </si>
  <si>
    <t>X</t>
  </si>
  <si>
    <t xml:space="preserve">Temps total (min : s) </t>
  </si>
  <si>
    <t>Mechanical Power El Dy (MPdy) [J/min]</t>
  </si>
  <si>
    <t>Mechanical Power El Dy (MPdy)[J/min]</t>
  </si>
  <si>
    <t>Mechanical Power El Stat (MPst) [J/min]</t>
  </si>
  <si>
    <t>Commentaire</t>
  </si>
  <si>
    <t>Mechanical Power res (MPres) [J/min]</t>
  </si>
  <si>
    <t>Ppeak</t>
  </si>
  <si>
    <t>Pplat</t>
  </si>
  <si>
    <t>?</t>
  </si>
  <si>
    <t xml:space="preserve">Age </t>
  </si>
  <si>
    <t xml:space="preserve">Temps total protocol (min : s) </t>
  </si>
  <si>
    <t>Temps tot protocol (min : s)</t>
  </si>
  <si>
    <t>VT (L)</t>
  </si>
  <si>
    <t>IMC</t>
  </si>
  <si>
    <t xml:space="preserve">ETCO2 ini </t>
  </si>
  <si>
    <t>PAM</t>
  </si>
  <si>
    <t>Pas de recrutement trop faible</t>
  </si>
  <si>
    <t xml:space="preserve">Recrutement n°2 attente (incision) </t>
  </si>
  <si>
    <t>SANS RECRUTEMENTR DEUXIEME PARTYIE PATIENT TROP FAIBLE</t>
  </si>
  <si>
    <t xml:space="preserve">2eme recrut retardée patient faible </t>
  </si>
  <si>
    <t>Ecart-type sur dP</t>
  </si>
  <si>
    <t>celio 88 ans bizarre</t>
  </si>
  <si>
    <t>Problème (Oui/non)</t>
  </si>
  <si>
    <t>Oui</t>
  </si>
  <si>
    <t>OUI</t>
  </si>
  <si>
    <t>NON</t>
  </si>
  <si>
    <t>Etat décompensé (OUI/NON)</t>
  </si>
  <si>
    <t>oui</t>
  </si>
  <si>
    <t>Écart-type de dP (Vt= 9ml/kg)</t>
  </si>
  <si>
    <t>Mechanical Pow dyna mini  (Vt= 7ml/kg) en J/min</t>
  </si>
  <si>
    <t>Mechanical Pow dyna mini  (Vt= 9ml/kg) en J/min</t>
  </si>
  <si>
    <t>Ecart-type sur dP(7ml/kg)</t>
  </si>
  <si>
    <t>Ecart-type sur dP (9ml/kg)</t>
  </si>
  <si>
    <t>PEEP adaptée (cmH2O)</t>
  </si>
  <si>
    <t>Vt  adapté(L)</t>
  </si>
  <si>
    <t>RR adapté (Cycles/min)</t>
  </si>
  <si>
    <t>Ecart-type de dP (Vt= 7ml/kg)</t>
  </si>
  <si>
    <t>u(ecart-type)</t>
  </si>
  <si>
    <t>Pplat (cmH2O)</t>
  </si>
  <si>
    <t>dp associée (cmH2O)</t>
  </si>
  <si>
    <t>u(dP) (cmH2O)</t>
  </si>
  <si>
    <t>u(Vt) (L)</t>
  </si>
  <si>
    <t>u(RR) (Cycles/min)</t>
  </si>
  <si>
    <t>u(Mp dy (7ml/kg)) en J/min</t>
  </si>
  <si>
    <t>Colonne1</t>
  </si>
  <si>
    <t>17 minutes et 5 secondes</t>
  </si>
  <si>
    <t>Colonne2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</si>
</sst>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)_ ;_ * \(#,##0.00\)_ ;_ * &quot;-&quot;??_)_ ;_ @_ "/>
    <numFmt numFmtId="164" formatCode="0.0"/>
  </numFmts>
  <fonts count="9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scheme val="minor"/>
    </font>
    <font>
      <b/>
      <u/>
      <sz val="12"/>
      <color theme="0"/>
      <name val="Aptos Narrow"/>
      <scheme val="minor"/>
    </font>
    <font>
      <sz val="12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249977111117893"/>
        <bgColor theme="0" tint="-0.14999847407452621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D0D0D0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30">
    <xf numFmtId="0" fontId="0" fillId="0" borderId="0" xfId="0"/>
    <xf numFmtId="0" fontId="0" fillId="0" borderId="0" xfId="0" applyAlignment="1">
      <alignment vertical="top"/>
    </xf>
    <xf numFmtId="0" fontId="0" fillId="0" borderId="4" xfId="0" applyBorder="1"/>
    <xf numFmtId="0" fontId="0" fillId="0" borderId="4" xfId="0" applyBorder="1" applyAlignment="1">
      <alignment horizontal="center"/>
    </xf>
    <xf numFmtId="0" fontId="7" fillId="2" borderId="4" xfId="0" applyFont="1" applyFill="1" applyBorder="1" applyAlignment="1">
      <alignment horizontal="center" vertical="center"/>
    </xf>
    <xf numFmtId="1" fontId="0" fillId="0" borderId="4" xfId="0" applyNumberFormat="1" applyBorder="1" applyAlignment="1">
      <alignment horizontal="center"/>
    </xf>
    <xf numFmtId="0" fontId="0" fillId="6" borderId="4" xfId="0" applyFill="1" applyBorder="1"/>
    <xf numFmtId="0" fontId="8" fillId="6" borderId="4" xfId="0" applyFont="1" applyFill="1" applyBorder="1" applyAlignment="1">
      <alignment vertical="center"/>
    </xf>
    <xf numFmtId="0" fontId="8" fillId="0" borderId="4" xfId="0" applyFont="1" applyBorder="1" applyAlignment="1">
      <alignment vertical="center"/>
    </xf>
    <xf numFmtId="2" fontId="8" fillId="0" borderId="4" xfId="0" applyNumberFormat="1" applyFont="1" applyBorder="1" applyAlignment="1">
      <alignment vertical="center"/>
    </xf>
    <xf numFmtId="2" fontId="0" fillId="0" borderId="4" xfId="0" applyNumberFormat="1" applyBorder="1"/>
    <xf numFmtId="0" fontId="6" fillId="0" borderId="0" xfId="0" applyFont="1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0" fillId="8" borderId="4" xfId="0" applyFill="1" applyBorder="1"/>
    <xf numFmtId="0" fontId="4" fillId="3" borderId="8" xfId="0" applyFont="1" applyFill="1" applyBorder="1" applyAlignment="1">
      <alignment vertical="center"/>
    </xf>
    <xf numFmtId="2" fontId="8" fillId="8" borderId="4" xfId="0" applyNumberFormat="1" applyFont="1" applyFill="1" applyBorder="1" applyAlignment="1">
      <alignment vertical="center"/>
    </xf>
    <xf numFmtId="0" fontId="0" fillId="6" borderId="10" xfId="0" applyFill="1" applyBorder="1"/>
    <xf numFmtId="0" fontId="8" fillId="6" borderId="10" xfId="0" applyFont="1" applyFill="1" applyBorder="1" applyAlignment="1">
      <alignment vertical="center"/>
    </xf>
    <xf numFmtId="0" fontId="0" fillId="0" borderId="13" xfId="0" applyBorder="1" applyAlignment="1">
      <alignment horizontal="center"/>
    </xf>
    <xf numFmtId="0" fontId="0" fillId="0" borderId="22" xfId="0" applyBorder="1"/>
    <xf numFmtId="2" fontId="0" fillId="0" borderId="22" xfId="0" applyNumberFormat="1" applyBorder="1"/>
    <xf numFmtId="0" fontId="0" fillId="0" borderId="5" xfId="0" applyBorder="1"/>
    <xf numFmtId="20" fontId="0" fillId="0" borderId="3" xfId="0" applyNumberFormat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vertical="center"/>
    </xf>
    <xf numFmtId="0" fontId="4" fillId="4" borderId="5" xfId="0" applyFont="1" applyFill="1" applyBorder="1" applyAlignment="1">
      <alignment vertical="center"/>
    </xf>
    <xf numFmtId="0" fontId="0" fillId="0" borderId="8" xfId="0" applyBorder="1"/>
    <xf numFmtId="0" fontId="8" fillId="8" borderId="4" xfId="0" applyFont="1" applyFill="1" applyBorder="1"/>
    <xf numFmtId="0" fontId="8" fillId="8" borderId="4" xfId="0" applyFont="1" applyFill="1" applyBorder="1" applyAlignment="1">
      <alignment vertical="center"/>
    </xf>
    <xf numFmtId="2" fontId="0" fillId="8" borderId="4" xfId="0" applyNumberFormat="1" applyFill="1" applyBorder="1"/>
    <xf numFmtId="2" fontId="8" fillId="6" borderId="4" xfId="0" applyNumberFormat="1" applyFont="1" applyFill="1" applyBorder="1" applyAlignment="1">
      <alignment vertical="center"/>
    </xf>
    <xf numFmtId="164" fontId="8" fillId="0" borderId="4" xfId="0" applyNumberFormat="1" applyFont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8" borderId="29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7" fillId="8" borderId="30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7" fillId="0" borderId="7" xfId="0" applyFont="1" applyBorder="1" applyAlignment="1">
      <alignment horizontal="center" vertical="center"/>
    </xf>
    <xf numFmtId="0" fontId="6" fillId="9" borderId="4" xfId="0" applyFont="1" applyFill="1" applyBorder="1"/>
    <xf numFmtId="164" fontId="0" fillId="0" borderId="4" xfId="0" applyNumberFormat="1" applyBorder="1"/>
    <xf numFmtId="164" fontId="0" fillId="0" borderId="22" xfId="0" applyNumberFormat="1" applyBorder="1"/>
    <xf numFmtId="164" fontId="8" fillId="6" borderId="10" xfId="0" applyNumberFormat="1" applyFont="1" applyFill="1" applyBorder="1" applyAlignment="1">
      <alignment vertical="center"/>
    </xf>
    <xf numFmtId="164" fontId="8" fillId="6" borderId="4" xfId="0" applyNumberFormat="1" applyFont="1" applyFill="1" applyBorder="1" applyAlignment="1">
      <alignment vertical="center"/>
    </xf>
    <xf numFmtId="2" fontId="8" fillId="6" borderId="10" xfId="0" applyNumberFormat="1" applyFont="1" applyFill="1" applyBorder="1" applyAlignment="1">
      <alignment vertical="center"/>
    </xf>
    <xf numFmtId="0" fontId="8" fillId="10" borderId="4" xfId="0" applyFont="1" applyFill="1" applyBorder="1" applyAlignment="1">
      <alignment vertical="center"/>
    </xf>
    <xf numFmtId="2" fontId="8" fillId="10" borderId="4" xfId="0" applyNumberFormat="1" applyFont="1" applyFill="1" applyBorder="1" applyAlignment="1">
      <alignment vertical="center"/>
    </xf>
    <xf numFmtId="2" fontId="8" fillId="10" borderId="4" xfId="0" applyNumberFormat="1" applyFont="1" applyFill="1" applyBorder="1"/>
    <xf numFmtId="0" fontId="8" fillId="11" borderId="4" xfId="0" applyFont="1" applyFill="1" applyBorder="1" applyAlignment="1">
      <alignment vertical="center"/>
    </xf>
    <xf numFmtId="2" fontId="8" fillId="11" borderId="4" xfId="0" applyNumberFormat="1" applyFont="1" applyFill="1" applyBorder="1" applyAlignment="1">
      <alignment vertical="center"/>
    </xf>
    <xf numFmtId="2" fontId="8" fillId="11" borderId="4" xfId="0" applyNumberFormat="1" applyFont="1" applyFill="1" applyBorder="1"/>
    <xf numFmtId="0" fontId="8" fillId="11" borderId="31" xfId="0" applyFont="1" applyFill="1" applyBorder="1" applyAlignment="1">
      <alignment vertical="center"/>
    </xf>
    <xf numFmtId="1" fontId="8" fillId="11" borderId="4" xfId="0" applyNumberFormat="1" applyFont="1" applyFill="1" applyBorder="1" applyAlignment="1">
      <alignment vertical="center"/>
    </xf>
    <xf numFmtId="0" fontId="8" fillId="10" borderId="31" xfId="0" applyFont="1" applyFill="1" applyBorder="1" applyAlignment="1">
      <alignment vertical="center"/>
    </xf>
    <xf numFmtId="1" fontId="8" fillId="10" borderId="4" xfId="0" applyNumberFormat="1" applyFont="1" applyFill="1" applyBorder="1" applyAlignment="1">
      <alignment vertical="center"/>
    </xf>
    <xf numFmtId="0" fontId="0" fillId="8" borderId="22" xfId="0" applyFill="1" applyBorder="1"/>
    <xf numFmtId="0" fontId="7" fillId="0" borderId="29" xfId="0" quotePrefix="1" applyFont="1" applyBorder="1" applyAlignment="1">
      <alignment horizontal="center" vertical="center"/>
    </xf>
    <xf numFmtId="2" fontId="0" fillId="0" borderId="0" xfId="0" applyNumberFormat="1"/>
    <xf numFmtId="2" fontId="0" fillId="10" borderId="0" xfId="0" applyNumberFormat="1" applyFill="1"/>
    <xf numFmtId="2" fontId="0" fillId="11" borderId="0" xfId="0" applyNumberFormat="1" applyFill="1"/>
    <xf numFmtId="0" fontId="1" fillId="3" borderId="5" xfId="0" applyFont="1" applyFill="1" applyBorder="1" applyAlignment="1">
      <alignment vertical="center"/>
    </xf>
    <xf numFmtId="20" fontId="8" fillId="10" borderId="4" xfId="0" applyNumberFormat="1" applyFont="1" applyFill="1" applyBorder="1"/>
    <xf numFmtId="20" fontId="8" fillId="11" borderId="4" xfId="0" applyNumberFormat="1" applyFont="1" applyFill="1" applyBorder="1"/>
    <xf numFmtId="2" fontId="0" fillId="0" borderId="18" xfId="0" applyNumberFormat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4" fillId="7" borderId="11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0" fontId="4" fillId="7" borderId="14" xfId="0" applyFont="1" applyFill="1" applyBorder="1" applyAlignment="1">
      <alignment horizontal="center" vertical="center"/>
    </xf>
    <xf numFmtId="20" fontId="0" fillId="0" borderId="15" xfId="0" applyNumberFormat="1" applyBorder="1" applyAlignment="1">
      <alignment horizontal="center" vertical="center"/>
    </xf>
    <xf numFmtId="20" fontId="0" fillId="0" borderId="16" xfId="0" applyNumberFormat="1" applyBorder="1" applyAlignment="1">
      <alignment horizontal="center" vertical="center"/>
    </xf>
    <xf numFmtId="20" fontId="0" fillId="0" borderId="24" xfId="0" applyNumberFormat="1" applyBorder="1" applyAlignment="1">
      <alignment horizontal="center" vertical="center"/>
    </xf>
    <xf numFmtId="20" fontId="0" fillId="0" borderId="8" xfId="0" applyNumberFormat="1" applyBorder="1" applyAlignment="1">
      <alignment horizontal="center" vertical="center"/>
    </xf>
    <xf numFmtId="20" fontId="0" fillId="0" borderId="23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23" xfId="0" applyNumberFormat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23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23" xfId="0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2" fontId="0" fillId="0" borderId="5" xfId="1" applyNumberFormat="1" applyFont="1" applyBorder="1" applyAlignment="1">
      <alignment horizontal="center" vertical="center"/>
    </xf>
    <xf numFmtId="2" fontId="0" fillId="0" borderId="8" xfId="1" applyNumberFormat="1" applyFont="1" applyBorder="1" applyAlignment="1">
      <alignment horizontal="center" vertical="center"/>
    </xf>
    <xf numFmtId="2" fontId="0" fillId="0" borderId="6" xfId="1" applyNumberFormat="1" applyFont="1" applyBorder="1" applyAlignment="1">
      <alignment horizontal="center" vertical="center"/>
    </xf>
    <xf numFmtId="2" fontId="0" fillId="0" borderId="23" xfId="1" applyNumberFormat="1" applyFont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2" fontId="4" fillId="3" borderId="18" xfId="0" applyNumberFormat="1" applyFont="1" applyFill="1" applyBorder="1" applyAlignment="1">
      <alignment horizontal="center" vertical="center"/>
    </xf>
    <xf numFmtId="0" fontId="0" fillId="0" borderId="0" xfId="0" applyNumberFormat="1"/>
    <xf numFmtId="45" fontId="0" fillId="0" borderId="0" xfId="0" applyNumberFormat="1"/>
    <xf numFmtId="0" fontId="1" fillId="4" borderId="5" xfId="0" applyFont="1" applyFill="1" applyBorder="1" applyAlignment="1">
      <alignment vertical="center"/>
    </xf>
  </cellXfs>
  <cellStyles count="2">
    <cellStyle name="Milliers" xfId="1" builtinId="3"/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numFmt numFmtId="2" formatCode="0.00"/>
      <fill>
        <patternFill patternType="solid">
          <fgColor indexed="64"/>
          <bgColor theme="9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numFmt numFmtId="2" formatCode="0.00"/>
      <fill>
        <patternFill patternType="solid">
          <fgColor indexed="64"/>
          <bgColor rgb="FF92D05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numFmt numFmtId="2" formatCode="0.0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theme="9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numFmt numFmtId="2" formatCode="0.00"/>
      <fill>
        <patternFill patternType="solid">
          <fgColor indexed="64"/>
          <bgColor rgb="FF92D05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numFmt numFmtId="2" formatCode="0.0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numFmt numFmtId="2" formatCode="0.00"/>
      <fill>
        <patternFill patternType="none">
          <fgColor indexed="64"/>
          <bgColor rgb="FF92D05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numFmt numFmtId="0" formatCode="General"/>
      <fill>
        <patternFill patternType="solid">
          <fgColor indexed="64"/>
          <bgColor theme="9" tint="0.3999755851924192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numFmt numFmtId="0" formatCode="General"/>
      <fill>
        <patternFill patternType="none">
          <fgColor indexed="64"/>
          <bgColor rgb="FF92D05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numFmt numFmtId="2" formatCode="0.00"/>
      <fill>
        <patternFill patternType="solid">
          <fgColor indexed="64"/>
          <bgColor theme="9" tint="0.3999755851924192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numFmt numFmtId="1" formatCode="0"/>
      <fill>
        <patternFill patternType="none">
          <fgColor indexed="64"/>
          <bgColor rgb="FF92D05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numFmt numFmtId="1" formatCode="0"/>
      <fill>
        <patternFill patternType="solid">
          <fgColor indexed="64"/>
          <bgColor theme="9" tint="0.3999755851924192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numFmt numFmtId="1" formatCode="0"/>
      <fill>
        <patternFill patternType="solid">
          <fgColor indexed="64"/>
          <bgColor theme="9" tint="0.3999755851924192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numFmt numFmtId="0" formatCode="General"/>
      <fill>
        <patternFill patternType="solid">
          <fgColor indexed="64"/>
          <bgColor theme="9" tint="0.3999755851924192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none">
          <fgColor indexed="64"/>
          <bgColor rgb="FF92D05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scheme val="minor"/>
      </font>
      <fill>
        <patternFill patternType="solid">
          <fgColor indexed="64"/>
          <bgColor theme="1" tint="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12699</xdr:colOff>
      <xdr:row>22</xdr:row>
      <xdr:rowOff>50800</xdr:rowOff>
    </xdr:from>
    <xdr:to>
      <xdr:col>24</xdr:col>
      <xdr:colOff>2049074</xdr:colOff>
      <xdr:row>33</xdr:row>
      <xdr:rowOff>190500</xdr:rowOff>
    </xdr:to>
    <xdr:sp macro="" textlink="">
      <xdr:nvSpPr>
        <xdr:cNvPr id="10" name="ZoneTexte 9">
          <a:extLst>
            <a:ext uri="{FF2B5EF4-FFF2-40B4-BE49-F238E27FC236}">
              <a16:creationId xmlns:a16="http://schemas.microsoft.com/office/drawing/2014/main" id="{714148E3-A8B7-8177-D481-8C7703A67C2C}"/>
            </a:ext>
          </a:extLst>
        </xdr:cNvPr>
        <xdr:cNvSpPr txBox="1"/>
      </xdr:nvSpPr>
      <xdr:spPr>
        <a:xfrm>
          <a:off x="27813960" y="4533153"/>
          <a:ext cx="2036375" cy="237020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- Recrutement</a:t>
          </a:r>
          <a:r>
            <a:rPr lang="fr-FR" sz="1100" baseline="0"/>
            <a:t> non fait sur la VT à 9 car patiente non stable hemodynamiquement pour la même raison valeurs non prises de dP pour PEEP 13 (vt 7ml/kg)et PEEP15 (vt 9ml/kg)</a:t>
          </a:r>
          <a:br>
            <a:rPr lang="fr-FR" sz="1100" baseline="0"/>
          </a:br>
          <a:r>
            <a:rPr lang="fr-FR" sz="1100" baseline="0"/>
            <a:t>-EtCO2 faible trop long pour augmenter</a:t>
          </a:r>
          <a:br>
            <a:rPr lang="fr-FR" sz="1100" baseline="0"/>
          </a:br>
          <a:r>
            <a:rPr lang="fr-FR" sz="1100" baseline="0"/>
            <a:t>- Temps à améliorer </a:t>
          </a:r>
        </a:p>
        <a:p>
          <a:r>
            <a:rPr lang="fr-FR" sz="1100" baseline="0"/>
            <a:t>- Ppeak non prit donc impossible de calculer MP res</a:t>
          </a:r>
        </a:p>
        <a:p>
          <a:endParaRPr lang="fr-FR" sz="1100"/>
        </a:p>
      </xdr:txBody>
    </xdr:sp>
    <xdr:clientData/>
  </xdr:twoCellAnchor>
  <xdr:twoCellAnchor>
    <xdr:from>
      <xdr:col>24</xdr:col>
      <xdr:colOff>12699</xdr:colOff>
      <xdr:row>36</xdr:row>
      <xdr:rowOff>50800</xdr:rowOff>
    </xdr:from>
    <xdr:to>
      <xdr:col>24</xdr:col>
      <xdr:colOff>2049074</xdr:colOff>
      <xdr:row>47</xdr:row>
      <xdr:rowOff>190500</xdr:rowOff>
    </xdr:to>
    <xdr:sp macro="" textlink="">
      <xdr:nvSpPr>
        <xdr:cNvPr id="11" name="ZoneTexte 10">
          <a:extLst>
            <a:ext uri="{FF2B5EF4-FFF2-40B4-BE49-F238E27FC236}">
              <a16:creationId xmlns:a16="http://schemas.microsoft.com/office/drawing/2014/main" id="{775546DE-F7B1-264F-B913-B59FB5702439}"/>
            </a:ext>
          </a:extLst>
        </xdr:cNvPr>
        <xdr:cNvSpPr txBox="1"/>
      </xdr:nvSpPr>
      <xdr:spPr>
        <a:xfrm>
          <a:off x="28562299" y="7442200"/>
          <a:ext cx="2036375" cy="2374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fr-FR" sz="1100"/>
        </a:p>
      </xdr:txBody>
    </xdr:sp>
    <xdr:clientData/>
  </xdr:twoCellAnchor>
  <xdr:twoCellAnchor>
    <xdr:from>
      <xdr:col>24</xdr:col>
      <xdr:colOff>12699</xdr:colOff>
      <xdr:row>50</xdr:row>
      <xdr:rowOff>50800</xdr:rowOff>
    </xdr:from>
    <xdr:to>
      <xdr:col>24</xdr:col>
      <xdr:colOff>2049074</xdr:colOff>
      <xdr:row>61</xdr:row>
      <xdr:rowOff>190500</xdr:rowOff>
    </xdr:to>
    <xdr:sp macro="" textlink="">
      <xdr:nvSpPr>
        <xdr:cNvPr id="48" name="ZoneTexte 47">
          <a:extLst>
            <a:ext uri="{FF2B5EF4-FFF2-40B4-BE49-F238E27FC236}">
              <a16:creationId xmlns:a16="http://schemas.microsoft.com/office/drawing/2014/main" id="{387CF245-610D-2A41-B6E2-77CFDED1265C}"/>
            </a:ext>
          </a:extLst>
        </xdr:cNvPr>
        <xdr:cNvSpPr txBox="1"/>
      </xdr:nvSpPr>
      <xdr:spPr>
        <a:xfrm>
          <a:off x="28333699" y="7442200"/>
          <a:ext cx="2036375" cy="2374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fr-FR" sz="1100"/>
        </a:p>
      </xdr:txBody>
    </xdr:sp>
    <xdr:clientData/>
  </xdr:twoCellAnchor>
  <xdr:twoCellAnchor>
    <xdr:from>
      <xdr:col>24</xdr:col>
      <xdr:colOff>12699</xdr:colOff>
      <xdr:row>64</xdr:row>
      <xdr:rowOff>50800</xdr:rowOff>
    </xdr:from>
    <xdr:to>
      <xdr:col>24</xdr:col>
      <xdr:colOff>2049074</xdr:colOff>
      <xdr:row>75</xdr:row>
      <xdr:rowOff>190500</xdr:rowOff>
    </xdr:to>
    <xdr:sp macro="" textlink="">
      <xdr:nvSpPr>
        <xdr:cNvPr id="639" name="ZoneTexte 638">
          <a:extLst>
            <a:ext uri="{FF2B5EF4-FFF2-40B4-BE49-F238E27FC236}">
              <a16:creationId xmlns:a16="http://schemas.microsoft.com/office/drawing/2014/main" id="{02DA24F0-5388-DB48-AB46-0DD6A5B5340A}"/>
            </a:ext>
          </a:extLst>
        </xdr:cNvPr>
        <xdr:cNvSpPr txBox="1"/>
      </xdr:nvSpPr>
      <xdr:spPr>
        <a:xfrm>
          <a:off x="28342166" y="10295467"/>
          <a:ext cx="2036375" cy="2374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Trop</a:t>
          </a:r>
          <a:r>
            <a:rPr lang="fr-FR" sz="1100" baseline="0"/>
            <a:t> long</a:t>
          </a:r>
          <a:endParaRPr lang="fr-FR" sz="1100"/>
        </a:p>
      </xdr:txBody>
    </xdr:sp>
    <xdr:clientData/>
  </xdr:twoCellAnchor>
  <xdr:twoCellAnchor>
    <xdr:from>
      <xdr:col>24</xdr:col>
      <xdr:colOff>26360</xdr:colOff>
      <xdr:row>36</xdr:row>
      <xdr:rowOff>75453</xdr:rowOff>
    </xdr:from>
    <xdr:to>
      <xdr:col>24</xdr:col>
      <xdr:colOff>2062735</xdr:colOff>
      <xdr:row>47</xdr:row>
      <xdr:rowOff>215153</xdr:rowOff>
    </xdr:to>
    <xdr:sp macro="" textlink="">
      <xdr:nvSpPr>
        <xdr:cNvPr id="640" name="ZoneTexte 639">
          <a:extLst>
            <a:ext uri="{FF2B5EF4-FFF2-40B4-BE49-F238E27FC236}">
              <a16:creationId xmlns:a16="http://schemas.microsoft.com/office/drawing/2014/main" id="{BA672D31-DDC9-B045-B28C-476D3F3D322F}"/>
            </a:ext>
          </a:extLst>
        </xdr:cNvPr>
        <xdr:cNvSpPr txBox="1"/>
      </xdr:nvSpPr>
      <xdr:spPr>
        <a:xfrm>
          <a:off x="28309260" y="7441453"/>
          <a:ext cx="2036375" cy="2374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- Recrutement</a:t>
          </a:r>
          <a:r>
            <a:rPr lang="fr-FR" sz="1100" baseline="0"/>
            <a:t> non fait sur la VT à 9 car patiente non stable hemodynamiquement pour la même raison valeurs non prises de dP pour PEEP 13 (vt 7ml/kg)et PEEP15 (vt 9ml/kg)</a:t>
          </a:r>
          <a:br>
            <a:rPr lang="fr-FR" sz="1100" baseline="0"/>
          </a:br>
          <a:endParaRPr lang="fr-FR" sz="1100"/>
        </a:p>
      </xdr:txBody>
    </xdr:sp>
    <xdr:clientData/>
  </xdr:twoCellAnchor>
  <xdr:twoCellAnchor>
    <xdr:from>
      <xdr:col>24</xdr:col>
      <xdr:colOff>101600</xdr:colOff>
      <xdr:row>50</xdr:row>
      <xdr:rowOff>38100</xdr:rowOff>
    </xdr:from>
    <xdr:to>
      <xdr:col>24</xdr:col>
      <xdr:colOff>2137975</xdr:colOff>
      <xdr:row>61</xdr:row>
      <xdr:rowOff>177800</xdr:rowOff>
    </xdr:to>
    <xdr:sp macro="" textlink="">
      <xdr:nvSpPr>
        <xdr:cNvPr id="641" name="ZoneTexte 640">
          <a:extLst>
            <a:ext uri="{FF2B5EF4-FFF2-40B4-BE49-F238E27FC236}">
              <a16:creationId xmlns:a16="http://schemas.microsoft.com/office/drawing/2014/main" id="{68578233-AF6B-5D43-9F20-0268856DE3CF}"/>
            </a:ext>
          </a:extLst>
        </xdr:cNvPr>
        <xdr:cNvSpPr txBox="1"/>
      </xdr:nvSpPr>
      <xdr:spPr>
        <a:xfrm>
          <a:off x="28384500" y="10261600"/>
          <a:ext cx="2036375" cy="2374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aseline="0"/>
            <a:t>Trop long </a:t>
          </a:r>
        </a:p>
        <a:p>
          <a:endParaRPr lang="fr-FR" sz="1100" baseline="0"/>
        </a:p>
        <a:p>
          <a:endParaRPr lang="fr-FR" sz="1100"/>
        </a:p>
      </xdr:txBody>
    </xdr:sp>
    <xdr:clientData/>
  </xdr:twoCellAnchor>
  <xdr:twoCellAnchor>
    <xdr:from>
      <xdr:col>24</xdr:col>
      <xdr:colOff>12699</xdr:colOff>
      <xdr:row>78</xdr:row>
      <xdr:rowOff>50800</xdr:rowOff>
    </xdr:from>
    <xdr:to>
      <xdr:col>24</xdr:col>
      <xdr:colOff>2049074</xdr:colOff>
      <xdr:row>89</xdr:row>
      <xdr:rowOff>190500</xdr:rowOff>
    </xdr:to>
    <xdr:sp macro="" textlink="">
      <xdr:nvSpPr>
        <xdr:cNvPr id="642" name="ZoneTexte 641">
          <a:extLst>
            <a:ext uri="{FF2B5EF4-FFF2-40B4-BE49-F238E27FC236}">
              <a16:creationId xmlns:a16="http://schemas.microsoft.com/office/drawing/2014/main" id="{F468F9CB-8DBC-6046-B08B-730BDD312D30}"/>
            </a:ext>
          </a:extLst>
        </xdr:cNvPr>
        <xdr:cNvSpPr txBox="1"/>
      </xdr:nvSpPr>
      <xdr:spPr>
        <a:xfrm>
          <a:off x="33870899" y="13182600"/>
          <a:ext cx="2036375" cy="2374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fr-FR" sz="1100"/>
        </a:p>
      </xdr:txBody>
    </xdr:sp>
    <xdr:clientData/>
  </xdr:twoCellAnchor>
  <xdr:twoCellAnchor>
    <xdr:from>
      <xdr:col>13</xdr:col>
      <xdr:colOff>1478643</xdr:colOff>
      <xdr:row>192</xdr:row>
      <xdr:rowOff>181429</xdr:rowOff>
    </xdr:from>
    <xdr:to>
      <xdr:col>13</xdr:col>
      <xdr:colOff>1941286</xdr:colOff>
      <xdr:row>194</xdr:row>
      <xdr:rowOff>27214</xdr:rowOff>
    </xdr:to>
    <xdr:sp macro="" textlink="">
      <xdr:nvSpPr>
        <xdr:cNvPr id="12" name="ZoneTexte 11">
          <a:extLst>
            <a:ext uri="{FF2B5EF4-FFF2-40B4-BE49-F238E27FC236}">
              <a16:creationId xmlns:a16="http://schemas.microsoft.com/office/drawing/2014/main" id="{B9AF46EC-393F-5468-0D62-171A78F5C28D}"/>
            </a:ext>
          </a:extLst>
        </xdr:cNvPr>
        <xdr:cNvSpPr txBox="1"/>
      </xdr:nvSpPr>
      <xdr:spPr>
        <a:xfrm>
          <a:off x="9760857" y="41846500"/>
          <a:ext cx="462643" cy="2449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EFE</a:t>
          </a:r>
        </a:p>
      </xdr:txBody>
    </xdr:sp>
    <xdr:clientData/>
  </xdr:twoCellAnchor>
  <xdr:twoCellAnchor>
    <xdr:from>
      <xdr:col>13</xdr:col>
      <xdr:colOff>796472</xdr:colOff>
      <xdr:row>197</xdr:row>
      <xdr:rowOff>52615</xdr:rowOff>
    </xdr:from>
    <xdr:to>
      <xdr:col>13</xdr:col>
      <xdr:colOff>1995715</xdr:colOff>
      <xdr:row>200</xdr:row>
      <xdr:rowOff>63500</xdr:rowOff>
    </xdr:to>
    <xdr:sp macro="" textlink="">
      <xdr:nvSpPr>
        <xdr:cNvPr id="13" name="ZoneTexte 12">
          <a:extLst>
            <a:ext uri="{FF2B5EF4-FFF2-40B4-BE49-F238E27FC236}">
              <a16:creationId xmlns:a16="http://schemas.microsoft.com/office/drawing/2014/main" id="{09E7D7ED-D6D8-8649-BAF0-B64C1186A227}"/>
            </a:ext>
          </a:extLst>
        </xdr:cNvPr>
        <xdr:cNvSpPr txBox="1"/>
      </xdr:nvSpPr>
      <xdr:spPr>
        <a:xfrm>
          <a:off x="9078686" y="42733686"/>
          <a:ext cx="1199243" cy="609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PAS DE RECRUTEMENT</a:t>
          </a:r>
          <a:r>
            <a:rPr lang="fr-FR" sz="1100" baseline="0"/>
            <a:t> </a:t>
          </a:r>
        </a:p>
        <a:p>
          <a:endParaRPr lang="fr-FR" sz="1100"/>
        </a:p>
      </xdr:txBody>
    </xdr:sp>
    <xdr:clientData/>
  </xdr:twoCellAnchor>
  <xdr:twoCellAnchor>
    <xdr:from>
      <xdr:col>13</xdr:col>
      <xdr:colOff>727166</xdr:colOff>
      <xdr:row>211</xdr:row>
      <xdr:rowOff>183606</xdr:rowOff>
    </xdr:from>
    <xdr:to>
      <xdr:col>13</xdr:col>
      <xdr:colOff>1926409</xdr:colOff>
      <xdr:row>214</xdr:row>
      <xdr:rowOff>194491</xdr:rowOff>
    </xdr:to>
    <xdr:sp macro="" textlink="">
      <xdr:nvSpPr>
        <xdr:cNvPr id="14" name="ZoneTexte 13">
          <a:extLst>
            <a:ext uri="{FF2B5EF4-FFF2-40B4-BE49-F238E27FC236}">
              <a16:creationId xmlns:a16="http://schemas.microsoft.com/office/drawing/2014/main" id="{44880162-DBEE-4349-823D-A2FA8A79A3E6}"/>
            </a:ext>
          </a:extLst>
        </xdr:cNvPr>
        <xdr:cNvSpPr txBox="1"/>
      </xdr:nvSpPr>
      <xdr:spPr>
        <a:xfrm>
          <a:off x="9027886" y="46259206"/>
          <a:ext cx="1199243" cy="6204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BONNE SANT2</a:t>
          </a:r>
        </a:p>
        <a:p>
          <a:endParaRPr lang="fr-FR" sz="1100" baseline="0"/>
        </a:p>
        <a:p>
          <a:endParaRPr lang="fr-FR" sz="1100"/>
        </a:p>
      </xdr:txBody>
    </xdr:sp>
    <xdr:clientData/>
  </xdr:twoCellAnchor>
  <xdr:twoCellAnchor>
    <xdr:from>
      <xdr:col>13</xdr:col>
      <xdr:colOff>431800</xdr:colOff>
      <xdr:row>216</xdr:row>
      <xdr:rowOff>152400</xdr:rowOff>
    </xdr:from>
    <xdr:to>
      <xdr:col>13</xdr:col>
      <xdr:colOff>1638300</xdr:colOff>
      <xdr:row>222</xdr:row>
      <xdr:rowOff>63500</xdr:rowOff>
    </xdr:to>
    <xdr:sp macro="" textlink="">
      <xdr:nvSpPr>
        <xdr:cNvPr id="16" name="ZoneTexte 15">
          <a:extLst>
            <a:ext uri="{FF2B5EF4-FFF2-40B4-BE49-F238E27FC236}">
              <a16:creationId xmlns:a16="http://schemas.microsoft.com/office/drawing/2014/main" id="{6FD4894B-F0D7-EF42-B30C-C9274477853A}"/>
            </a:ext>
          </a:extLst>
        </xdr:cNvPr>
        <xdr:cNvSpPr txBox="1"/>
      </xdr:nvSpPr>
      <xdr:spPr>
        <a:xfrm>
          <a:off x="8724900" y="50203100"/>
          <a:ext cx="1206500" cy="1130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DEUXI7ME RECRUTEMENT NON EFFECTUE,</a:t>
          </a:r>
          <a:r>
            <a:rPr lang="fr-FR" sz="1100" baseline="0"/>
            <a:t> PAM&lt;65</a:t>
          </a:r>
        </a:p>
        <a:p>
          <a:endParaRPr lang="fr-FR" sz="1100"/>
        </a:p>
      </xdr:txBody>
    </xdr:sp>
    <xdr:clientData/>
  </xdr:twoCellAnchor>
  <xdr:twoCellAnchor>
    <xdr:from>
      <xdr:col>13</xdr:col>
      <xdr:colOff>457200</xdr:colOff>
      <xdr:row>223</xdr:row>
      <xdr:rowOff>139700</xdr:rowOff>
    </xdr:from>
    <xdr:to>
      <xdr:col>13</xdr:col>
      <xdr:colOff>1663700</xdr:colOff>
      <xdr:row>229</xdr:row>
      <xdr:rowOff>50800</xdr:rowOff>
    </xdr:to>
    <xdr:sp macro="" textlink="">
      <xdr:nvSpPr>
        <xdr:cNvPr id="17" name="ZoneTexte 16">
          <a:extLst>
            <a:ext uri="{FF2B5EF4-FFF2-40B4-BE49-F238E27FC236}">
              <a16:creationId xmlns:a16="http://schemas.microsoft.com/office/drawing/2014/main" id="{3333368C-ED1A-044D-834D-A5D0138DC5F8}"/>
            </a:ext>
          </a:extLst>
        </xdr:cNvPr>
        <xdr:cNvSpPr txBox="1"/>
      </xdr:nvSpPr>
      <xdr:spPr>
        <a:xfrm>
          <a:off x="8750300" y="51625500"/>
          <a:ext cx="1206500" cy="1130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EFE</a:t>
          </a:r>
          <a:endParaRPr lang="fr-FR" sz="1100" baseline="0"/>
        </a:p>
        <a:p>
          <a:endParaRPr lang="fr-FR" sz="1100"/>
        </a:p>
      </xdr:txBody>
    </xdr:sp>
    <xdr:clientData/>
  </xdr:twoCellAnchor>
  <xdr:twoCellAnchor>
    <xdr:from>
      <xdr:col>13</xdr:col>
      <xdr:colOff>406400</xdr:colOff>
      <xdr:row>230</xdr:row>
      <xdr:rowOff>114300</xdr:rowOff>
    </xdr:from>
    <xdr:to>
      <xdr:col>13</xdr:col>
      <xdr:colOff>1612900</xdr:colOff>
      <xdr:row>236</xdr:row>
      <xdr:rowOff>25400</xdr:rowOff>
    </xdr:to>
    <xdr:sp macro="" textlink="">
      <xdr:nvSpPr>
        <xdr:cNvPr id="18" name="ZoneTexte 17">
          <a:extLst>
            <a:ext uri="{FF2B5EF4-FFF2-40B4-BE49-F238E27FC236}">
              <a16:creationId xmlns:a16="http://schemas.microsoft.com/office/drawing/2014/main" id="{143C40DC-BA8B-BB4A-BD80-6FEA0E9C957C}"/>
            </a:ext>
          </a:extLst>
        </xdr:cNvPr>
        <xdr:cNvSpPr txBox="1"/>
      </xdr:nvSpPr>
      <xdr:spPr>
        <a:xfrm>
          <a:off x="8699500" y="53035200"/>
          <a:ext cx="1206500" cy="1130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aseline="0"/>
            <a:t>PZAS DE RECRUTEMENT</a:t>
          </a:r>
        </a:p>
        <a:p>
          <a:endParaRPr lang="fr-FR" sz="1100" baseline="0"/>
        </a:p>
        <a:p>
          <a:r>
            <a:rPr lang="fr-FR" sz="1100" baseline="0"/>
            <a:t>EFE</a:t>
          </a:r>
        </a:p>
      </xdr:txBody>
    </xdr:sp>
    <xdr:clientData/>
  </xdr:twoCellAnchor>
  <xdr:twoCellAnchor>
    <xdr:from>
      <xdr:col>13</xdr:col>
      <xdr:colOff>431800</xdr:colOff>
      <xdr:row>237</xdr:row>
      <xdr:rowOff>177800</xdr:rowOff>
    </xdr:from>
    <xdr:to>
      <xdr:col>13</xdr:col>
      <xdr:colOff>1638300</xdr:colOff>
      <xdr:row>243</xdr:row>
      <xdr:rowOff>88900</xdr:rowOff>
    </xdr:to>
    <xdr:sp macro="" textlink="">
      <xdr:nvSpPr>
        <xdr:cNvPr id="19" name="ZoneTexte 18">
          <a:extLst>
            <a:ext uri="{FF2B5EF4-FFF2-40B4-BE49-F238E27FC236}">
              <a16:creationId xmlns:a16="http://schemas.microsoft.com/office/drawing/2014/main" id="{205A5E14-2FBF-8943-B3C8-4D60AC621FF7}"/>
            </a:ext>
          </a:extLst>
        </xdr:cNvPr>
        <xdr:cNvSpPr txBox="1"/>
      </xdr:nvSpPr>
      <xdr:spPr>
        <a:xfrm>
          <a:off x="8724900" y="54533800"/>
          <a:ext cx="1206500" cy="1130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aseline="0"/>
            <a:t>PZAS DE RECRUTEMENT</a:t>
          </a:r>
        </a:p>
        <a:p>
          <a:endParaRPr lang="fr-FR" sz="1100" baseline="0"/>
        </a:p>
        <a:p>
          <a:r>
            <a:rPr lang="fr-FR" sz="1100" baseline="0"/>
            <a:t>PATIENT NON COMPLIANT PAS CURARISE</a:t>
          </a:r>
        </a:p>
        <a:p>
          <a:endParaRPr lang="fr-FR" sz="1100" baseline="0"/>
        </a:p>
      </xdr:txBody>
    </xdr:sp>
    <xdr:clientData/>
  </xdr:twoCellAnchor>
  <xdr:twoCellAnchor>
    <xdr:from>
      <xdr:col>13</xdr:col>
      <xdr:colOff>511443</xdr:colOff>
      <xdr:row>245</xdr:row>
      <xdr:rowOff>18754</xdr:rowOff>
    </xdr:from>
    <xdr:to>
      <xdr:col>13</xdr:col>
      <xdr:colOff>1717943</xdr:colOff>
      <xdr:row>250</xdr:row>
      <xdr:rowOff>131630</xdr:rowOff>
    </xdr:to>
    <xdr:sp macro="" textlink="">
      <xdr:nvSpPr>
        <xdr:cNvPr id="15" name="ZoneTexte 14">
          <a:extLst>
            <a:ext uri="{FF2B5EF4-FFF2-40B4-BE49-F238E27FC236}">
              <a16:creationId xmlns:a16="http://schemas.microsoft.com/office/drawing/2014/main" id="{C2973AB8-0EFC-0F45-8867-991C60E83074}"/>
            </a:ext>
          </a:extLst>
        </xdr:cNvPr>
        <xdr:cNvSpPr txBox="1"/>
      </xdr:nvSpPr>
      <xdr:spPr>
        <a:xfrm>
          <a:off x="8819854" y="49940436"/>
          <a:ext cx="1206500" cy="11217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aseline="0"/>
            <a:t>paRFAIT</a:t>
          </a:r>
        </a:p>
        <a:p>
          <a:endParaRPr lang="fr-FR" sz="1100" baseline="0"/>
        </a:p>
      </xdr:txBody>
    </xdr:sp>
    <xdr:clientData/>
  </xdr:twoCellAnchor>
  <xdr:twoCellAnchor>
    <xdr:from>
      <xdr:col>13</xdr:col>
      <xdr:colOff>521413</xdr:colOff>
      <xdr:row>251</xdr:row>
      <xdr:rowOff>147415</xdr:rowOff>
    </xdr:from>
    <xdr:to>
      <xdr:col>13</xdr:col>
      <xdr:colOff>1727913</xdr:colOff>
      <xdr:row>257</xdr:row>
      <xdr:rowOff>58516</xdr:rowOff>
    </xdr:to>
    <xdr:sp macro="" textlink="">
      <xdr:nvSpPr>
        <xdr:cNvPr id="20" name="ZoneTexte 19">
          <a:extLst>
            <a:ext uri="{FF2B5EF4-FFF2-40B4-BE49-F238E27FC236}">
              <a16:creationId xmlns:a16="http://schemas.microsoft.com/office/drawing/2014/main" id="{2055E4E0-3319-FD48-9EBE-F927D11E8F3B}"/>
            </a:ext>
          </a:extLst>
        </xdr:cNvPr>
        <xdr:cNvSpPr txBox="1"/>
      </xdr:nvSpPr>
      <xdr:spPr>
        <a:xfrm>
          <a:off x="8829824" y="51291621"/>
          <a:ext cx="1206500" cy="11217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aseline="0"/>
            <a:t>CHUTTE DE PAM APRES RECRUTEMENT </a:t>
          </a:r>
        </a:p>
        <a:p>
          <a:r>
            <a:rPr lang="fr-FR" sz="1100" baseline="0"/>
            <a:t>COMPLIANCE SUPER ELEVE </a:t>
          </a:r>
        </a:p>
        <a:p>
          <a:r>
            <a:rPr lang="fr-FR" sz="1100" baseline="0"/>
            <a:t>EFE</a:t>
          </a:r>
        </a:p>
        <a:p>
          <a:endParaRPr lang="fr-FR" sz="1100" baseline="0"/>
        </a:p>
      </xdr:txBody>
    </xdr:sp>
    <xdr:clientData/>
  </xdr:twoCellAnchor>
  <xdr:twoCellAnchor>
    <xdr:from>
      <xdr:col>13</xdr:col>
      <xdr:colOff>510373</xdr:colOff>
      <xdr:row>258</xdr:row>
      <xdr:rowOff>83085</xdr:rowOff>
    </xdr:from>
    <xdr:to>
      <xdr:col>13</xdr:col>
      <xdr:colOff>1716873</xdr:colOff>
      <xdr:row>263</xdr:row>
      <xdr:rowOff>195962</xdr:rowOff>
    </xdr:to>
    <xdr:sp macro="" textlink="">
      <xdr:nvSpPr>
        <xdr:cNvPr id="21" name="ZoneTexte 20">
          <a:extLst>
            <a:ext uri="{FF2B5EF4-FFF2-40B4-BE49-F238E27FC236}">
              <a16:creationId xmlns:a16="http://schemas.microsoft.com/office/drawing/2014/main" id="{A400B809-324C-664B-9858-4F0B6A88F1F6}"/>
            </a:ext>
          </a:extLst>
        </xdr:cNvPr>
        <xdr:cNvSpPr txBox="1"/>
      </xdr:nvSpPr>
      <xdr:spPr>
        <a:xfrm>
          <a:off x="8818784" y="52651590"/>
          <a:ext cx="1206500" cy="11217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aseline="0"/>
            <a:t>pas de recrutement, hemo trop faible</a:t>
          </a:r>
        </a:p>
        <a:p>
          <a:r>
            <a:rPr lang="fr-FR" sz="1100" baseline="0"/>
            <a:t>EFE</a:t>
          </a:r>
        </a:p>
        <a:p>
          <a:endParaRPr lang="fr-FR" sz="1100" baseline="0"/>
        </a:p>
      </xdr:txBody>
    </xdr:sp>
    <xdr:clientData/>
  </xdr:twoCellAnchor>
  <xdr:twoCellAnchor>
    <xdr:from>
      <xdr:col>13</xdr:col>
      <xdr:colOff>484735</xdr:colOff>
      <xdr:row>266</xdr:row>
      <xdr:rowOff>69317</xdr:rowOff>
    </xdr:from>
    <xdr:to>
      <xdr:col>13</xdr:col>
      <xdr:colOff>1691235</xdr:colOff>
      <xdr:row>271</xdr:row>
      <xdr:rowOff>182193</xdr:rowOff>
    </xdr:to>
    <xdr:sp macro="" textlink="">
      <xdr:nvSpPr>
        <xdr:cNvPr id="22" name="ZoneTexte 21">
          <a:extLst>
            <a:ext uri="{FF2B5EF4-FFF2-40B4-BE49-F238E27FC236}">
              <a16:creationId xmlns:a16="http://schemas.microsoft.com/office/drawing/2014/main" id="{90863BBB-77AB-7547-BC49-65C591D159C9}"/>
            </a:ext>
          </a:extLst>
        </xdr:cNvPr>
        <xdr:cNvSpPr txBox="1"/>
      </xdr:nvSpPr>
      <xdr:spPr>
        <a:xfrm>
          <a:off x="8793146" y="54263896"/>
          <a:ext cx="1206500" cy="11217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aseline="0"/>
            <a:t>pas de recrutemeent </a:t>
          </a:r>
        </a:p>
        <a:p>
          <a:endParaRPr lang="fr-FR" sz="1100" baseline="0"/>
        </a:p>
      </xdr:txBody>
    </xdr:sp>
    <xdr:clientData/>
  </xdr:twoCellAnchor>
  <xdr:twoCellAnchor>
    <xdr:from>
      <xdr:col>13</xdr:col>
      <xdr:colOff>567819</xdr:colOff>
      <xdr:row>272</xdr:row>
      <xdr:rowOff>81186</xdr:rowOff>
    </xdr:from>
    <xdr:to>
      <xdr:col>13</xdr:col>
      <xdr:colOff>1774319</xdr:colOff>
      <xdr:row>277</xdr:row>
      <xdr:rowOff>194063</xdr:rowOff>
    </xdr:to>
    <xdr:sp macro="" textlink="">
      <xdr:nvSpPr>
        <xdr:cNvPr id="23" name="ZoneTexte 22">
          <a:extLst>
            <a:ext uri="{FF2B5EF4-FFF2-40B4-BE49-F238E27FC236}">
              <a16:creationId xmlns:a16="http://schemas.microsoft.com/office/drawing/2014/main" id="{061B02C1-A3B0-E348-8F4E-32A18968A9E8}"/>
            </a:ext>
          </a:extLst>
        </xdr:cNvPr>
        <xdr:cNvSpPr txBox="1"/>
      </xdr:nvSpPr>
      <xdr:spPr>
        <a:xfrm>
          <a:off x="8876230" y="55498289"/>
          <a:ext cx="1206500" cy="11217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aseline="0"/>
            <a:t>PAS DE SOUCIS</a:t>
          </a:r>
        </a:p>
        <a:p>
          <a:endParaRPr lang="fr-FR" sz="1100" baseline="0"/>
        </a:p>
      </xdr:txBody>
    </xdr:sp>
    <xdr:clientData/>
  </xdr:twoCellAnchor>
  <xdr:twoCellAnchor>
    <xdr:from>
      <xdr:col>13</xdr:col>
      <xdr:colOff>494231</xdr:colOff>
      <xdr:row>286</xdr:row>
      <xdr:rowOff>69844</xdr:rowOff>
    </xdr:from>
    <xdr:to>
      <xdr:col>13</xdr:col>
      <xdr:colOff>1700731</xdr:colOff>
      <xdr:row>291</xdr:row>
      <xdr:rowOff>182721</xdr:rowOff>
    </xdr:to>
    <xdr:sp macro="" textlink="">
      <xdr:nvSpPr>
        <xdr:cNvPr id="25" name="ZoneTexte 24">
          <a:extLst>
            <a:ext uri="{FF2B5EF4-FFF2-40B4-BE49-F238E27FC236}">
              <a16:creationId xmlns:a16="http://schemas.microsoft.com/office/drawing/2014/main" id="{CC3F46B1-9900-D54C-8B77-A8C2A6DC684D}"/>
            </a:ext>
          </a:extLst>
        </xdr:cNvPr>
        <xdr:cNvSpPr txBox="1"/>
      </xdr:nvSpPr>
      <xdr:spPr>
        <a:xfrm>
          <a:off x="8904453" y="57233955"/>
          <a:ext cx="1206500" cy="11006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aseline="0"/>
            <a:t>Seconde partie non réalisable</a:t>
          </a:r>
        </a:p>
        <a:p>
          <a:endParaRPr lang="fr-FR" sz="1100" baseline="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6E02178-2BED-9745-B583-5931A2B3756E}" name="Tableau13" displayName="Tableau13" ref="A1:Y21" totalsRowShown="0" headerRowDxfId="23" tableBorderDxfId="22">
  <autoFilter ref="A1:Y21" xr:uid="{76E02178-2BED-9745-B583-5931A2B3756E}"/>
  <sortState xmlns:xlrd2="http://schemas.microsoft.com/office/spreadsheetml/2017/richdata2" ref="A2:W20">
    <sortCondition ref="A1:A20"/>
  </sortState>
  <tableColumns count="25">
    <tableColumn id="1" xr3:uid="{04083795-F4D6-AB42-B4BF-A6ECE351D081}" name="N°Patient" dataDxfId="21"/>
    <tableColumn id="2" xr3:uid="{C2AC6E22-AFB3-EC4F-AC38-4973CA6872B3}" name="Sex" dataDxfId="20">
      <calculatedColumnFormula>IFERROR(_xlfn.XLOOKUP($A2, 'INTERVENTION ARM'!$A:$A, 'INTERVENTION ARM'!B:B), "")</calculatedColumnFormula>
    </tableColumn>
    <tableColumn id="3" xr3:uid="{386D2740-9339-E84B-9A4F-17234187AB23}" name="Age" dataDxfId="19">
      <calculatedColumnFormula>IFERROR(_xlfn.XLOOKUP($A2, 'INTERVENTION ARM'!$A:$A, 'INTERVENTION ARM'!C:C), "")</calculatedColumnFormula>
    </tableColumn>
    <tableColumn id="4" xr3:uid="{A45C64BA-C70C-764D-872B-BBA8559EC4F3}" name="Height(cm)" dataDxfId="18">
      <calculatedColumnFormula>IFERROR(_xlfn.XLOOKUP($A2, 'INTERVENTION ARM'!$A:$A, 'INTERVENTION ARM'!D:D), "")</calculatedColumnFormula>
    </tableColumn>
    <tableColumn id="5" xr3:uid="{3CD0B205-1C8B-E746-B583-43796C136F21}" name="Weight (Kg)" dataDxfId="17">
      <calculatedColumnFormula>IFERROR(_xlfn.XLOOKUP($A2, 'INTERVENTION ARM'!$A:$A, 'INTERVENTION ARM'!E:E), "")</calculatedColumnFormula>
    </tableColumn>
    <tableColumn id="6" xr3:uid="{CC17F2EB-470F-A543-99FD-8C1D10B225E0}" name="PBW(kg)" dataDxfId="16">
      <calculatedColumnFormula>IFERROR(_xlfn.XLOOKUP($A2, 'INTERVENTION ARM'!$A:$A, 'INTERVENTION ARM'!F:F), "")</calculatedColumnFormula>
    </tableColumn>
    <tableColumn id="18" xr3:uid="{47E789DB-A845-4844-8DD8-A5EC4EE13ECD}" name="IMC" dataDxfId="15">
      <calculatedColumnFormula>IFERROR(_xlfn.XLOOKUP($A2, 'INTERVENTION ARM'!$A:$A, 'INTERVENTION ARM'!H:H), "")</calculatedColumnFormula>
    </tableColumn>
    <tableColumn id="7" xr3:uid="{E10DE0B3-8D6E-954C-8713-ABC9ECBF7576}" name="PEEP adaptée (cmH2O)" dataDxfId="14">
      <calculatedColumnFormula array="1">_xlfn.XLOOKUP(P2, OFFSET('INTERVENTION ARM'!$U$1, MATCH($A2, 'INTERVENTION ARM'!$A:$A, 0) - 7, 0, 6), OFFSET('INTERVENTION ARM'!$Q$1, MATCH($A2, 'INTERVENTION ARM'!$A:$A, 0) - 7, 0, 6), "Non trouvé", 0, -1)</calculatedColumnFormula>
    </tableColumn>
    <tableColumn id="28" xr3:uid="{7A869C1E-9609-E945-8D3C-369D160C2117}" name="Pplat (cmH2O)" dataDxfId="13">
      <calculatedColumnFormula array="1">_xlfn.XLOOKUP(P2, OFFSET('INTERVENTION ARM'!$U$1, MATCH($A2, 'INTERVENTION ARM'!$A:$A, 0) - 7, 0, 6), OFFSET('INTERVENTION ARM'!$T$1, MATCH($A2, 'INTERVENTION ARM'!$A:$A, 0) - 7, 0, 6), "Non trouvé", 0, -1)</calculatedColumnFormula>
    </tableColumn>
    <tableColumn id="24" xr3:uid="{7CC8A96A-C955-D344-87D3-849752132599}" name="dp associée (cmH2O)" dataDxfId="12">
      <calculatedColumnFormula array="1">_xlfn.XLOOKUP(P2, OFFSET('INTERVENTION ARM'!$U$1, MATCH($A2, 'INTERVENTION ARM'!$A:$A, 0) - 7, 0, 6), OFFSET('INTERVENTION ARM'!$R$1, MATCH($A2, 'INTERVENTION ARM'!$A:$A, 0) - 7, 0, 6), "Non trouvé", 0, -1)</calculatedColumnFormula>
    </tableColumn>
    <tableColumn id="25" xr3:uid="{AB6BE8FD-BBB6-714B-B157-99B680C6ACD8}" name="u(dP) (cmH2O)" dataDxfId="11">
      <calculatedColumnFormula>ROUNDUP(SQRT((Tableau13[[#This Row],[Pplat (cmH2O)]]*0.04)^2+(Tableau13[[#This Row],[PEEP adaptée (cmH2O)]]*0.04)^2),1)</calculatedColumnFormula>
    </tableColumn>
    <tableColumn id="8" xr3:uid="{C7C49442-2E45-A34C-973E-DC05ED0A241E}" name="Vt  adapté(L)" dataDxfId="10">
      <calculatedColumnFormula>MAX(OFFSET('INTERVENTION ARM'!$J$1, MATCH($A2, 'INTERVENTION ARM'!$A:$A, 0) - 7, 0, 6))</calculatedColumnFormula>
    </tableColumn>
    <tableColumn id="26" xr3:uid="{9FB3BD18-B9A2-F748-A409-68FEE1738044}" name="u(Vt) (L)" dataDxfId="9">
      <calculatedColumnFormula>Tableau13[[#This Row],[Vt  adapté(L)]]*0.08</calculatedColumnFormula>
    </tableColumn>
    <tableColumn id="9" xr3:uid="{E2CE0F55-A34E-9D41-ADD9-92500E2D7E7F}" name="RR adapté (Cycles/min)" dataDxfId="8">
      <calculatedColumnFormula>MAX(OFFSET('INTERVENTION ARM'!$M$1, MATCH($A2, 'INTERVENTION ARM'!$A:$A, 0) - 7, 0, 6))</calculatedColumnFormula>
    </tableColumn>
    <tableColumn id="27" xr3:uid="{7268CD12-A0C2-CC4D-AC16-B8B8971602E6}" name="u(RR) (Cycles/min)" dataDxfId="7">
      <calculatedColumnFormula>Tableau13[[#This Row],[RR adapté (Cycles/min)]]*0.1</calculatedColumnFormula>
    </tableColumn>
    <tableColumn id="10" xr3:uid="{F119F0C6-78FF-FE4F-A80B-09AAF6709421}" name="Mechanical Pow dyna mini  (Vt= 7ml/kg) en J/min" dataDxfId="6">
      <calculatedColumnFormula>IFERROR(MIN(OFFSET('INTERVENTION ARM'!$U$1, MATCH($A2, 'INTERVENTION ARM'!$A:$A, 0) - 7, 0, 6)), "")</calculatedColumnFormula>
    </tableColumn>
    <tableColumn id="12" xr3:uid="{4D828EE0-C3E9-FC4C-AFC7-CB0AFFEFCF55}" name="Mechanical Pow dyna mini  (Vt= 9ml/kg) en J/min" dataDxfId="5">
      <calculatedColumnFormula>IFERROR(MIN(OFFSET('INTERVENTION ARM'!$U$1, MATCH($A2, 'INTERVENTION ARM'!$A:$A, 0) + 0, 0, 6)), "")</calculatedColumnFormula>
    </tableColumn>
    <tableColumn id="19" xr3:uid="{57F7D8A6-0F7B-7C42-9E79-0B0834132480}" name="Ecart-type de dP (Vt= 7ml/kg)" dataDxfId="4">
      <calculatedColumnFormula>IFERROR(MAX(OFFSET('INTERVENTION ARM'!$Z$1, MATCH($A2, 'INTERVENTION ARM'!$A:$A, 0) - 5, 0, 7)), "")</calculatedColumnFormula>
    </tableColumn>
    <tableColumn id="29" xr3:uid="{DA5E2F84-F438-E54F-ACC7-F4A346BE331C}" name="u(ecart-type)" dataDxfId="3">
      <calculatedColumnFormula>Tableau13[[#This Row],[u(dP) (cmH2O)]]/(SQRT(6-1))</calculatedColumnFormula>
    </tableColumn>
    <tableColumn id="13" xr3:uid="{4ADE3095-5175-8B48-B71E-53DF7F0EE90E}" name="Écart-type de dP (Vt= 9ml/kg)" dataDxfId="2">
      <calculatedColumnFormula>IFERROR(MAX(OFFSET('INTERVENTION ARM'!$Z$1, MATCH($A2, 'INTERVENTION ARM'!$A:$A, 0) + 2, 0, 7)), "")</calculatedColumnFormula>
    </tableColumn>
    <tableColumn id="22" xr3:uid="{AC6D0218-66A9-1047-A4F6-8F14B4858AB2}" name="Etat décompensé (OUI/NON)" dataDxfId="1">
      <calculatedColumnFormula>IFERROR(_xlfn.XLOOKUP($A2, 'INTERVENTION ARM'!$A:$A, 'INTERVENTION ARM'!AA:AA), "")</calculatedColumnFormula>
    </tableColumn>
    <tableColumn id="14" xr3:uid="{6C6ACE38-298F-6F46-805E-852FCA1C289F}" name="u(Mp dy (7ml/kg)) en J/min" dataDxfId="0">
      <calculatedColumnFormula>SQRT((((0.098*0.5*Tableau13[[#This Row],[RR adapté (Cycles/min)]]*Tableau13[[#This Row],[dp associée (cmH2O)]]*Tableau13[[#This Row],[u(Vt) (L)]])^2)+((0.098*0.5*Tableau13[[#This Row],[Vt  adapté(L)]]*Tableau13[[#This Row],[dp associée (cmH2O)]]*Tableau13[[#This Row],[u(RR) (Cycles/min)]])^2)+((0.098*0.5*Tableau13[[#This Row],[Vt  adapté(L)]]*Tableau13[[#This Row],[RR adapté (Cycles/min)]]*Tableau13[[#This Row],[u(dP) (cmH2O)]])^2)))</calculatedColumnFormula>
    </tableColumn>
    <tableColumn id="16" xr3:uid="{0516AF3A-B189-1D47-A78F-7508B3F18EE6}" name="Temps tot protocol (min : s)">
      <calculatedColumnFormula>MAX(OFFSET('INTERVENTION ARM'!$X$1, MATCH($A2, 'INTERVENTION ARM'!$A:$A, 0) - 7, 0, 8))</calculatedColumnFormula>
    </tableColumn>
    <tableColumn id="11" xr3:uid="{C31ACAF8-47B4-F844-95BC-996FC4681CF1}" name="Colonne1"/>
    <tableColumn id="15" xr3:uid="{9E863158-7D02-A847-A819-6C8B00E9382C}" name="Colonne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1EA22-DCB1-FC4A-A9BD-07DB70CA5A1C}">
  <sheetPr codeName="Feuil2"/>
  <dimension ref="A3:DO692"/>
  <sheetViews>
    <sheetView tabSelected="1" topLeftCell="A14" zoomScale="90" zoomScaleNormal="141" workbookViewId="0">
      <selection activeCell="U38" sqref="U38"/>
    </sheetView>
  </sheetViews>
  <sheetFormatPr baseColWidth="10" defaultRowHeight="16" x14ac:dyDescent="0.2"/>
  <cols>
    <col min="1" max="1" width="9.5" bestFit="1" customWidth="1"/>
    <col min="2" max="2" width="4.6640625" bestFit="1" customWidth="1"/>
    <col min="3" max="3" width="5.33203125" bestFit="1" customWidth="1"/>
    <col min="4" max="4" width="11" bestFit="1" customWidth="1"/>
    <col min="5" max="5" width="11.33203125" bestFit="1" customWidth="1"/>
    <col min="6" max="6" width="9.5" bestFit="1" customWidth="1"/>
    <col min="7" max="7" width="7.83203125" bestFit="1" customWidth="1"/>
    <col min="8" max="8" width="14.33203125" bestFit="1" customWidth="1"/>
    <col min="9" max="9" width="10.83203125" bestFit="1" customWidth="1"/>
    <col min="10" max="10" width="6.33203125" bestFit="1" customWidth="1"/>
    <col min="11" max="11" width="9.83203125" bestFit="1" customWidth="1"/>
    <col min="12" max="12" width="6" bestFit="1" customWidth="1"/>
    <col min="13" max="13" width="4.1640625" bestFit="1" customWidth="1"/>
    <col min="14" max="14" width="26.33203125" bestFit="1" customWidth="1"/>
    <col min="15" max="15" width="6.83203125" bestFit="1" customWidth="1"/>
    <col min="16" max="16" width="5.6640625" bestFit="1" customWidth="1"/>
    <col min="17" max="17" width="6.33203125" bestFit="1" customWidth="1"/>
    <col min="18" max="18" width="4.83203125" bestFit="1" customWidth="1"/>
    <col min="19" max="19" width="6.33203125" bestFit="1" customWidth="1"/>
    <col min="20" max="20" width="9.6640625" bestFit="1" customWidth="1"/>
    <col min="21" max="21" width="32.6640625" customWidth="1"/>
    <col min="22" max="22" width="33.6640625" bestFit="1" customWidth="1"/>
    <col min="23" max="23" width="32" bestFit="1" customWidth="1"/>
    <col min="24" max="24" width="31.5" bestFit="1" customWidth="1"/>
    <col min="25" max="25" width="32" bestFit="1" customWidth="1"/>
    <col min="26" max="26" width="19.6640625" customWidth="1"/>
    <col min="27" max="27" width="27.1640625" customWidth="1"/>
    <col min="28" max="28" width="16.6640625" bestFit="1" customWidth="1"/>
    <col min="29" max="29" width="16.6640625" customWidth="1"/>
    <col min="30" max="30" width="23" bestFit="1" customWidth="1"/>
    <col min="31" max="31" width="22.83203125" customWidth="1"/>
    <col min="32" max="32" width="18.1640625" bestFit="1" customWidth="1"/>
    <col min="33" max="33" width="27.6640625" bestFit="1" customWidth="1"/>
    <col min="34" max="34" width="28.1640625" bestFit="1" customWidth="1"/>
    <col min="35" max="35" width="25.83203125" bestFit="1" customWidth="1"/>
    <col min="36" max="36" width="24.1640625" bestFit="1" customWidth="1"/>
    <col min="37" max="37" width="22.83203125" bestFit="1" customWidth="1"/>
    <col min="38" max="39" width="15.6640625" bestFit="1" customWidth="1"/>
    <col min="40" max="40" width="22.83203125" bestFit="1" customWidth="1"/>
    <col min="41" max="42" width="15.6640625" bestFit="1" customWidth="1"/>
    <col min="43" max="43" width="22.83203125" bestFit="1" customWidth="1"/>
    <col min="44" max="45" width="15.6640625" bestFit="1" customWidth="1"/>
    <col min="46" max="46" width="22.83203125" bestFit="1" customWidth="1"/>
    <col min="47" max="47" width="16.1640625" bestFit="1" customWidth="1"/>
    <col min="48" max="48" width="16" bestFit="1" customWidth="1"/>
    <col min="49" max="49" width="43" bestFit="1" customWidth="1"/>
    <col min="50" max="50" width="12.5" bestFit="1" customWidth="1"/>
    <col min="51" max="51" width="40.6640625" bestFit="1" customWidth="1"/>
    <col min="53" max="53" width="16" bestFit="1" customWidth="1"/>
    <col min="54" max="54" width="14.5" bestFit="1" customWidth="1"/>
    <col min="55" max="55" width="14.6640625" bestFit="1" customWidth="1"/>
    <col min="56" max="56" width="15.6640625" bestFit="1" customWidth="1"/>
  </cols>
  <sheetData>
    <row r="3" spans="1:119" x14ac:dyDescent="0.2">
      <c r="A3" s="1"/>
      <c r="B3" s="1"/>
      <c r="C3" s="1"/>
      <c r="D3" s="1"/>
      <c r="E3" s="1"/>
    </row>
    <row r="4" spans="1:119" x14ac:dyDescent="0.2">
      <c r="A4" s="1"/>
      <c r="B4" s="1"/>
      <c r="C4" s="1"/>
      <c r="D4" s="1"/>
      <c r="E4" s="1"/>
    </row>
    <row r="5" spans="1:119" x14ac:dyDescent="0.2">
      <c r="A5" s="1"/>
      <c r="B5" s="1"/>
      <c r="C5" s="1"/>
      <c r="D5" s="1"/>
      <c r="E5" s="1"/>
    </row>
    <row r="6" spans="1:119" x14ac:dyDescent="0.2">
      <c r="A6" s="1"/>
      <c r="B6" s="1"/>
      <c r="C6" s="1"/>
      <c r="D6" s="1"/>
      <c r="E6" s="1"/>
    </row>
    <row r="7" spans="1:119" x14ac:dyDescent="0.2">
      <c r="A7" s="1"/>
      <c r="B7" s="1"/>
      <c r="C7" s="1"/>
      <c r="D7" s="1"/>
      <c r="E7" s="1"/>
    </row>
    <row r="8" spans="1:119" x14ac:dyDescent="0.2">
      <c r="A8" s="1"/>
      <c r="B8" s="1"/>
      <c r="C8" s="1"/>
      <c r="D8" s="1"/>
      <c r="E8" s="1"/>
      <c r="DO8" t="s">
        <v>5</v>
      </c>
    </row>
    <row r="9" spans="1:119" x14ac:dyDescent="0.2">
      <c r="A9" s="1"/>
      <c r="B9" s="1"/>
      <c r="C9" s="1"/>
      <c r="D9" s="1"/>
      <c r="E9" s="1"/>
      <c r="DO9" t="s">
        <v>4</v>
      </c>
    </row>
    <row r="10" spans="1:119" x14ac:dyDescent="0.2">
      <c r="A10" s="1"/>
      <c r="B10" s="1"/>
      <c r="C10" s="1"/>
      <c r="D10" s="1"/>
      <c r="E10" s="1"/>
    </row>
    <row r="11" spans="1:119" x14ac:dyDescent="0.2">
      <c r="A11" s="1"/>
      <c r="B11" s="1"/>
      <c r="C11" s="1"/>
      <c r="D11" s="1"/>
      <c r="E11" s="1"/>
    </row>
    <row r="13" spans="1:119" ht="18" customHeight="1" x14ac:dyDescent="0.2"/>
    <row r="15" spans="1:119" x14ac:dyDescent="0.2">
      <c r="AD15" s="11"/>
      <c r="AE15" s="11"/>
    </row>
    <row r="16" spans="1:119" x14ac:dyDescent="0.2">
      <c r="T16" s="12"/>
      <c r="U16" s="12"/>
      <c r="V16" s="12"/>
      <c r="W16" s="12"/>
    </row>
    <row r="17" spans="1:31" x14ac:dyDescent="0.2">
      <c r="AD17" s="11"/>
      <c r="AE17" s="11"/>
    </row>
    <row r="18" spans="1:31" x14ac:dyDescent="0.2">
      <c r="R18" s="13"/>
      <c r="S18" s="13"/>
    </row>
    <row r="20" spans="1:31" ht="17" thickBot="1" x14ac:dyDescent="0.25"/>
    <row r="21" spans="1:31" x14ac:dyDescent="0.2">
      <c r="A21" s="107" t="s">
        <v>8</v>
      </c>
      <c r="B21" s="110" t="s">
        <v>3</v>
      </c>
      <c r="C21" s="110" t="s">
        <v>28</v>
      </c>
      <c r="D21" s="110" t="s">
        <v>9</v>
      </c>
      <c r="E21" s="71" t="s">
        <v>11</v>
      </c>
      <c r="F21" s="71" t="s">
        <v>10</v>
      </c>
      <c r="G21" s="71" t="s">
        <v>12</v>
      </c>
      <c r="H21" s="71" t="s">
        <v>32</v>
      </c>
      <c r="I21" s="74" t="s">
        <v>14</v>
      </c>
      <c r="J21" s="67" t="s">
        <v>31</v>
      </c>
      <c r="K21" s="67" t="s">
        <v>33</v>
      </c>
      <c r="L21" s="67" t="s">
        <v>17</v>
      </c>
      <c r="M21" s="67" t="s">
        <v>0</v>
      </c>
      <c r="N21" s="113" t="s">
        <v>16</v>
      </c>
      <c r="O21" s="24" t="s">
        <v>6</v>
      </c>
      <c r="P21" s="24" t="s">
        <v>34</v>
      </c>
      <c r="Q21" s="17" t="s">
        <v>2</v>
      </c>
      <c r="R21" s="17" t="s">
        <v>1</v>
      </c>
      <c r="S21" s="17" t="s">
        <v>25</v>
      </c>
      <c r="T21" s="17" t="s">
        <v>26</v>
      </c>
      <c r="U21" s="18" t="s">
        <v>20</v>
      </c>
      <c r="V21" s="18" t="s">
        <v>22</v>
      </c>
      <c r="W21" s="18" t="s">
        <v>24</v>
      </c>
      <c r="X21" s="77" t="s">
        <v>29</v>
      </c>
      <c r="Y21" s="79" t="s">
        <v>23</v>
      </c>
      <c r="Z21" s="125" t="s">
        <v>50</v>
      </c>
      <c r="AD21" s="66">
        <v>0.5</v>
      </c>
      <c r="AE21" s="60">
        <f>AD21</f>
        <v>0.5</v>
      </c>
    </row>
    <row r="22" spans="1:31" x14ac:dyDescent="0.2">
      <c r="A22" s="108"/>
      <c r="B22" s="111"/>
      <c r="C22" s="111"/>
      <c r="D22" s="111"/>
      <c r="E22" s="72"/>
      <c r="F22" s="72"/>
      <c r="G22" s="72"/>
      <c r="H22" s="72"/>
      <c r="I22" s="75"/>
      <c r="J22" s="68"/>
      <c r="K22" s="68"/>
      <c r="L22" s="68"/>
      <c r="M22" s="68"/>
      <c r="N22" s="114"/>
      <c r="O22" s="36"/>
      <c r="P22" s="36"/>
      <c r="Q22" s="2">
        <v>15</v>
      </c>
      <c r="R22" s="2">
        <v>7</v>
      </c>
      <c r="S22" s="14"/>
      <c r="T22" s="2">
        <f>R22+Q22</f>
        <v>22</v>
      </c>
      <c r="U22" s="9">
        <f>0.098*J25*M25*0.5*R22</f>
        <v>1.5364287119999998</v>
      </c>
      <c r="V22" s="9">
        <f>0.098*J25*M25*Q22</f>
        <v>6.5846944799999987</v>
      </c>
      <c r="W22" s="8" t="s">
        <v>27</v>
      </c>
      <c r="X22" s="78"/>
      <c r="Y22" s="80"/>
      <c r="Z22" s="125"/>
      <c r="AD22" s="66"/>
      <c r="AE22">
        <v>0</v>
      </c>
    </row>
    <row r="23" spans="1:31" x14ac:dyDescent="0.2">
      <c r="A23" s="108"/>
      <c r="B23" s="111"/>
      <c r="C23" s="111"/>
      <c r="D23" s="111"/>
      <c r="E23" s="72"/>
      <c r="F23" s="72"/>
      <c r="G23" s="72"/>
      <c r="H23" s="72"/>
      <c r="I23" s="75"/>
      <c r="J23" s="68"/>
      <c r="K23" s="68"/>
      <c r="L23" s="68"/>
      <c r="M23" s="68"/>
      <c r="N23" s="114"/>
      <c r="O23" s="36"/>
      <c r="P23" s="36"/>
      <c r="Q23" s="2">
        <f>Q22-2</f>
        <v>13</v>
      </c>
      <c r="R23" s="14" t="s">
        <v>18</v>
      </c>
      <c r="S23" s="14"/>
      <c r="T23" s="2" t="e">
        <f t="shared" ref="T23:T27" si="0">R23+Q23</f>
        <v>#VALUE!</v>
      </c>
      <c r="U23" s="16"/>
      <c r="V23" s="16">
        <f>0.098*J25*M25*Q23</f>
        <v>5.7067352159999984</v>
      </c>
      <c r="W23" s="29" t="s">
        <v>27</v>
      </c>
      <c r="X23" s="23">
        <v>0.61111111111111116</v>
      </c>
      <c r="Y23" s="81">
        <v>0.61111111111111116</v>
      </c>
      <c r="Z23" s="125"/>
      <c r="AD23" s="66"/>
      <c r="AE23">
        <v>0.82</v>
      </c>
    </row>
    <row r="24" spans="1:31" x14ac:dyDescent="0.2">
      <c r="A24" s="108"/>
      <c r="B24" s="111"/>
      <c r="C24" s="111"/>
      <c r="D24" s="111"/>
      <c r="E24" s="72"/>
      <c r="F24" s="72"/>
      <c r="G24" s="72"/>
      <c r="H24" s="72"/>
      <c r="I24" s="75"/>
      <c r="J24" s="69"/>
      <c r="K24" s="69"/>
      <c r="L24" s="69"/>
      <c r="M24" s="69"/>
      <c r="N24" s="114"/>
      <c r="O24" s="36"/>
      <c r="P24" s="36"/>
      <c r="Q24" s="2">
        <f>Q23-2</f>
        <v>11</v>
      </c>
      <c r="R24" s="2">
        <v>6</v>
      </c>
      <c r="S24" s="14"/>
      <c r="T24" s="2">
        <f t="shared" si="0"/>
        <v>17</v>
      </c>
      <c r="U24" s="9">
        <f>0.098*J25*M25*0.5*R24</f>
        <v>1.3169388959999997</v>
      </c>
      <c r="V24" s="9">
        <f>0.098*J25*M25*Q24</f>
        <v>4.8287759519999991</v>
      </c>
      <c r="W24" s="8" t="s">
        <v>27</v>
      </c>
      <c r="X24" s="84"/>
      <c r="Y24" s="82"/>
      <c r="Z24" s="125"/>
      <c r="AD24" s="66">
        <v>0.8164965809277237</v>
      </c>
      <c r="AE24">
        <v>0.75</v>
      </c>
    </row>
    <row r="25" spans="1:31" x14ac:dyDescent="0.2">
      <c r="A25" s="108"/>
      <c r="B25" s="111"/>
      <c r="C25" s="111"/>
      <c r="D25" s="111"/>
      <c r="E25" s="72"/>
      <c r="F25" s="72"/>
      <c r="G25" s="72"/>
      <c r="H25" s="72"/>
      <c r="I25" s="75"/>
      <c r="J25" s="121">
        <f>(7*F28)/1000</f>
        <v>0.37328199999999995</v>
      </c>
      <c r="K25" s="89">
        <v>38</v>
      </c>
      <c r="L25" s="92">
        <v>8</v>
      </c>
      <c r="M25" s="92">
        <v>12</v>
      </c>
      <c r="N25" s="114"/>
      <c r="O25" s="36"/>
      <c r="P25" s="36"/>
      <c r="Q25" s="2">
        <f>Q24-2</f>
        <v>9</v>
      </c>
      <c r="R25" s="2">
        <v>6</v>
      </c>
      <c r="S25" s="14"/>
      <c r="T25" s="2">
        <f t="shared" si="0"/>
        <v>15</v>
      </c>
      <c r="U25" s="9">
        <f>0.098*J25*M25*0.5*R25</f>
        <v>1.3169388959999997</v>
      </c>
      <c r="V25" s="9">
        <f>0.098*J25*M25*Q25</f>
        <v>3.9508166879999989</v>
      </c>
      <c r="W25" s="8" t="s">
        <v>27</v>
      </c>
      <c r="X25" s="84"/>
      <c r="Y25" s="82"/>
      <c r="Z25" s="66">
        <f>_xlfn.STDEV.S(R24:R27)</f>
        <v>0.5</v>
      </c>
      <c r="AD25" s="66"/>
      <c r="AE25">
        <v>0.41</v>
      </c>
    </row>
    <row r="26" spans="1:31" x14ac:dyDescent="0.2">
      <c r="A26" s="108"/>
      <c r="B26" s="111"/>
      <c r="C26" s="111"/>
      <c r="D26" s="111"/>
      <c r="E26" s="72"/>
      <c r="F26" s="72"/>
      <c r="G26" s="72"/>
      <c r="H26" s="72"/>
      <c r="I26" s="75"/>
      <c r="J26" s="122"/>
      <c r="K26" s="90"/>
      <c r="L26" s="93"/>
      <c r="M26" s="92"/>
      <c r="N26" s="114"/>
      <c r="O26" s="36"/>
      <c r="P26" s="36"/>
      <c r="Q26" s="2">
        <f>Q25-2</f>
        <v>7</v>
      </c>
      <c r="R26" s="2">
        <v>6</v>
      </c>
      <c r="S26" s="14"/>
      <c r="T26" s="2">
        <f t="shared" si="0"/>
        <v>13</v>
      </c>
      <c r="U26" s="9">
        <f>0.098*J25*M25*0.5*R26</f>
        <v>1.3169388959999997</v>
      </c>
      <c r="V26" s="9">
        <f>0.098*J25*M25*Q26</f>
        <v>3.0728574239999995</v>
      </c>
      <c r="W26" s="8" t="s">
        <v>27</v>
      </c>
      <c r="X26" s="84"/>
      <c r="Y26" s="82"/>
      <c r="Z26" s="66"/>
      <c r="AD26" s="66"/>
      <c r="AE26">
        <v>0.75</v>
      </c>
    </row>
    <row r="27" spans="1:31" ht="17" thickBot="1" x14ac:dyDescent="0.25">
      <c r="A27" s="109"/>
      <c r="B27" s="112"/>
      <c r="C27" s="112"/>
      <c r="D27" s="112"/>
      <c r="E27" s="73"/>
      <c r="F27" s="73"/>
      <c r="G27" s="73"/>
      <c r="H27" s="73"/>
      <c r="I27" s="76"/>
      <c r="J27" s="123"/>
      <c r="K27" s="96"/>
      <c r="L27" s="95"/>
      <c r="M27" s="92"/>
      <c r="N27" s="114"/>
      <c r="O27" s="37"/>
      <c r="P27" s="37"/>
      <c r="Q27" s="22">
        <f>Q26-2</f>
        <v>5</v>
      </c>
      <c r="R27" s="2">
        <v>7</v>
      </c>
      <c r="S27" s="14"/>
      <c r="T27" s="2">
        <f t="shared" si="0"/>
        <v>12</v>
      </c>
      <c r="U27" s="9">
        <f>0.098*J25*M25*0.5*R27</f>
        <v>1.5364287119999998</v>
      </c>
      <c r="V27" s="9">
        <f>0.098*J25*M25*Q27</f>
        <v>2.1948981599999993</v>
      </c>
      <c r="W27" s="8" t="s">
        <v>27</v>
      </c>
      <c r="X27" s="84"/>
      <c r="Y27" s="82"/>
      <c r="Z27" s="66"/>
      <c r="AA27" t="s">
        <v>41</v>
      </c>
      <c r="AD27" s="66">
        <v>0.75277265270908045</v>
      </c>
      <c r="AE27">
        <v>1.33</v>
      </c>
    </row>
    <row r="28" spans="1:31" x14ac:dyDescent="0.2">
      <c r="A28" s="19">
        <v>1</v>
      </c>
      <c r="B28" s="3" t="s">
        <v>4</v>
      </c>
      <c r="C28" s="3">
        <v>61</v>
      </c>
      <c r="D28" s="3">
        <v>161</v>
      </c>
      <c r="E28" s="3">
        <v>100</v>
      </c>
      <c r="F28" s="3">
        <f>IF(B28="M", 50 + 0.91*(D28-152.4), IF(B28="F", 45.5 + 0.91*(D28-152.4), ""))</f>
        <v>53.325999999999993</v>
      </c>
      <c r="G28" s="3">
        <v>67</v>
      </c>
      <c r="H28" s="5">
        <f>E28/(D28*10^-2)^2</f>
        <v>38.578758535550321</v>
      </c>
      <c r="I28" s="116" t="s">
        <v>15</v>
      </c>
      <c r="J28" s="70" t="s">
        <v>13</v>
      </c>
      <c r="K28" s="70" t="s">
        <v>33</v>
      </c>
      <c r="L28" s="70" t="s">
        <v>17</v>
      </c>
      <c r="M28" s="70" t="s">
        <v>0</v>
      </c>
      <c r="N28" s="114"/>
      <c r="O28" s="4" t="s">
        <v>6</v>
      </c>
      <c r="P28" s="4" t="s">
        <v>34</v>
      </c>
      <c r="Q28" s="6" t="s">
        <v>2</v>
      </c>
      <c r="R28" s="6" t="s">
        <v>1</v>
      </c>
      <c r="S28" s="17" t="s">
        <v>25</v>
      </c>
      <c r="T28" s="17" t="s">
        <v>26</v>
      </c>
      <c r="U28" s="7" t="s">
        <v>21</v>
      </c>
      <c r="V28" s="7" t="s">
        <v>22</v>
      </c>
      <c r="W28" s="7" t="s">
        <v>24</v>
      </c>
      <c r="X28" s="84"/>
      <c r="Y28" s="82"/>
      <c r="Z28" s="125" t="s">
        <v>51</v>
      </c>
      <c r="AA28" t="s">
        <v>43</v>
      </c>
      <c r="AD28" s="66"/>
      <c r="AE28">
        <v>0.75</v>
      </c>
    </row>
    <row r="29" spans="1:31" x14ac:dyDescent="0.2">
      <c r="A29" s="98"/>
      <c r="B29" s="99"/>
      <c r="C29" s="99"/>
      <c r="D29" s="99"/>
      <c r="E29" s="99"/>
      <c r="F29" s="99"/>
      <c r="G29" s="99"/>
      <c r="H29" s="100"/>
      <c r="I29" s="75"/>
      <c r="J29" s="68"/>
      <c r="K29" s="68"/>
      <c r="L29" s="68"/>
      <c r="M29" s="70"/>
      <c r="N29" s="114"/>
      <c r="O29" s="36"/>
      <c r="P29" s="36"/>
      <c r="Q29" s="2">
        <v>15</v>
      </c>
      <c r="R29" s="14" t="s">
        <v>18</v>
      </c>
      <c r="S29" s="14"/>
      <c r="T29" s="14"/>
      <c r="U29" s="14"/>
      <c r="V29" s="30">
        <f>0.098*J32*M32*Q29</f>
        <v>8.4660357600000005</v>
      </c>
      <c r="W29" s="14" t="s">
        <v>27</v>
      </c>
      <c r="X29" s="84"/>
      <c r="Y29" s="82"/>
      <c r="Z29" s="125"/>
      <c r="AD29" s="66"/>
      <c r="AE29">
        <v>0.41</v>
      </c>
    </row>
    <row r="30" spans="1:31" x14ac:dyDescent="0.2">
      <c r="A30" s="101"/>
      <c r="B30" s="102"/>
      <c r="C30" s="102"/>
      <c r="D30" s="102"/>
      <c r="E30" s="102"/>
      <c r="F30" s="102"/>
      <c r="G30" s="102"/>
      <c r="H30" s="103"/>
      <c r="I30" s="75"/>
      <c r="J30" s="68"/>
      <c r="K30" s="68"/>
      <c r="L30" s="68"/>
      <c r="M30" s="70"/>
      <c r="N30" s="114"/>
      <c r="O30" s="36"/>
      <c r="P30" s="36"/>
      <c r="Q30" s="2">
        <f>Q29-2</f>
        <v>13</v>
      </c>
      <c r="R30" s="2">
        <v>7</v>
      </c>
      <c r="S30" s="14"/>
      <c r="T30" s="14"/>
      <c r="U30" s="10">
        <f>0.098*J32*M32*0.5*R30</f>
        <v>1.9754083439999999</v>
      </c>
      <c r="V30" s="10">
        <f>0.098*J25*M25*Q30</f>
        <v>5.7067352159999984</v>
      </c>
      <c r="W30" s="2" t="s">
        <v>27</v>
      </c>
      <c r="X30" s="84"/>
      <c r="Y30" s="82"/>
      <c r="Z30" s="125"/>
      <c r="AD30" s="66">
        <v>0.40824829046386302</v>
      </c>
      <c r="AE30">
        <v>1.47</v>
      </c>
    </row>
    <row r="31" spans="1:31" x14ac:dyDescent="0.2">
      <c r="A31" s="101"/>
      <c r="B31" s="102"/>
      <c r="C31" s="102"/>
      <c r="D31" s="102"/>
      <c r="E31" s="102"/>
      <c r="F31" s="102"/>
      <c r="G31" s="102"/>
      <c r="H31" s="103"/>
      <c r="I31" s="75"/>
      <c r="J31" s="69"/>
      <c r="K31" s="69"/>
      <c r="L31" s="69"/>
      <c r="M31" s="70"/>
      <c r="N31" s="114"/>
      <c r="O31" s="36"/>
      <c r="P31" s="36"/>
      <c r="Q31" s="2">
        <f>Q30-2</f>
        <v>11</v>
      </c>
      <c r="R31" s="2">
        <v>7</v>
      </c>
      <c r="S31" s="14"/>
      <c r="T31" s="14"/>
      <c r="U31" s="10">
        <f>0.098*J32*M32*0.5*R31</f>
        <v>1.9754083439999999</v>
      </c>
      <c r="V31" s="10">
        <f>0.098*J25*M25*Q31</f>
        <v>4.8287759519999991</v>
      </c>
      <c r="W31" s="2" t="s">
        <v>27</v>
      </c>
      <c r="X31" s="84"/>
      <c r="Y31" s="82"/>
      <c r="Z31" s="125"/>
      <c r="AD31" s="66"/>
      <c r="AE31">
        <v>0.75</v>
      </c>
    </row>
    <row r="32" spans="1:31" x14ac:dyDescent="0.2">
      <c r="A32" s="101"/>
      <c r="B32" s="102"/>
      <c r="C32" s="102"/>
      <c r="D32" s="102"/>
      <c r="E32" s="102"/>
      <c r="F32" s="102"/>
      <c r="G32" s="102"/>
      <c r="H32" s="103"/>
      <c r="I32" s="75"/>
      <c r="J32" s="121">
        <f>(9*F28)/1000</f>
        <v>0.47993399999999997</v>
      </c>
      <c r="K32" s="89">
        <v>38</v>
      </c>
      <c r="L32" s="92">
        <v>7</v>
      </c>
      <c r="M32" s="92">
        <v>12</v>
      </c>
      <c r="N32" s="114"/>
      <c r="O32" s="36"/>
      <c r="P32" s="36"/>
      <c r="Q32" s="2">
        <f>Q31-2</f>
        <v>9</v>
      </c>
      <c r="R32" s="2">
        <v>7</v>
      </c>
      <c r="S32" s="14"/>
      <c r="T32" s="14"/>
      <c r="U32" s="10">
        <f>0.098*J32*M32*0.5*R32</f>
        <v>1.9754083439999999</v>
      </c>
      <c r="V32" s="10">
        <f>0.098*J25*M25*Q32</f>
        <v>3.9508166879999989</v>
      </c>
      <c r="W32" s="2" t="s">
        <v>27</v>
      </c>
      <c r="X32" s="84"/>
      <c r="Y32" s="82"/>
      <c r="Z32" s="101">
        <f>_xlfn.STDEV.S(R29:R34)</f>
        <v>0</v>
      </c>
      <c r="AD32" s="66"/>
      <c r="AE32">
        <v>1.21</v>
      </c>
    </row>
    <row r="33" spans="1:31" x14ac:dyDescent="0.2">
      <c r="A33" s="101"/>
      <c r="B33" s="102"/>
      <c r="C33" s="102"/>
      <c r="D33" s="102"/>
      <c r="E33" s="102"/>
      <c r="F33" s="102"/>
      <c r="G33" s="102"/>
      <c r="H33" s="103"/>
      <c r="I33" s="75"/>
      <c r="J33" s="122"/>
      <c r="K33" s="90"/>
      <c r="L33" s="93"/>
      <c r="M33" s="92"/>
      <c r="N33" s="114"/>
      <c r="O33" s="36"/>
      <c r="P33" s="36"/>
      <c r="Q33" s="2">
        <f>Q32-2</f>
        <v>7</v>
      </c>
      <c r="R33" s="2">
        <v>7</v>
      </c>
      <c r="S33" s="14"/>
      <c r="T33" s="14"/>
      <c r="U33" s="10">
        <f>0.098*J32*M32*0.5*R33</f>
        <v>1.9754083439999999</v>
      </c>
      <c r="V33" s="10">
        <f>0.098*J25*M25*Q33</f>
        <v>3.0728574239999995</v>
      </c>
      <c r="W33" s="2" t="s">
        <v>27</v>
      </c>
      <c r="X33" s="84"/>
      <c r="Y33" s="82"/>
      <c r="Z33" s="101"/>
      <c r="AD33" s="66">
        <v>0.75277265270908111</v>
      </c>
      <c r="AE33">
        <v>0.55000000000000004</v>
      </c>
    </row>
    <row r="34" spans="1:31" ht="17" thickBot="1" x14ac:dyDescent="0.25">
      <c r="A34" s="104"/>
      <c r="B34" s="105"/>
      <c r="C34" s="105"/>
      <c r="D34" s="105"/>
      <c r="E34" s="105"/>
      <c r="F34" s="105"/>
      <c r="G34" s="105"/>
      <c r="H34" s="106"/>
      <c r="I34" s="117"/>
      <c r="J34" s="124"/>
      <c r="K34" s="91"/>
      <c r="L34" s="94"/>
      <c r="M34" s="92"/>
      <c r="N34" s="115"/>
      <c r="O34" s="38"/>
      <c r="P34" s="38"/>
      <c r="Q34" s="20">
        <f>Q33-2</f>
        <v>5</v>
      </c>
      <c r="R34" s="20">
        <v>7</v>
      </c>
      <c r="S34" s="58"/>
      <c r="T34" s="58"/>
      <c r="U34" s="21">
        <f>0.098*J32*M32*0.5*R34</f>
        <v>1.9754083439999999</v>
      </c>
      <c r="V34" s="21">
        <f>0.098*J25*M25*Q34</f>
        <v>2.1948981599999993</v>
      </c>
      <c r="W34" s="20" t="s">
        <v>27</v>
      </c>
      <c r="X34" s="85"/>
      <c r="Y34" s="83"/>
      <c r="Z34" s="101"/>
      <c r="AD34" s="66"/>
      <c r="AE34">
        <v>0.41</v>
      </c>
    </row>
    <row r="35" spans="1:31" ht="17" thickBot="1" x14ac:dyDescent="0.25">
      <c r="A35" s="107" t="s">
        <v>8</v>
      </c>
      <c r="B35" s="110" t="s">
        <v>3</v>
      </c>
      <c r="C35" s="110" t="s">
        <v>7</v>
      </c>
      <c r="D35" s="110" t="s">
        <v>9</v>
      </c>
      <c r="E35" s="71" t="s">
        <v>11</v>
      </c>
      <c r="F35" s="71" t="s">
        <v>10</v>
      </c>
      <c r="G35" s="71" t="s">
        <v>12</v>
      </c>
      <c r="H35" s="71" t="s">
        <v>32</v>
      </c>
      <c r="I35" s="74" t="s">
        <v>14</v>
      </c>
      <c r="J35" s="67" t="s">
        <v>13</v>
      </c>
      <c r="K35" s="67" t="s">
        <v>33</v>
      </c>
      <c r="L35" s="67" t="s">
        <v>17</v>
      </c>
      <c r="M35" s="67" t="s">
        <v>0</v>
      </c>
      <c r="N35" s="113" t="s">
        <v>16</v>
      </c>
      <c r="O35" s="24" t="s">
        <v>6</v>
      </c>
      <c r="P35" s="24" t="s">
        <v>34</v>
      </c>
      <c r="Q35" s="17" t="s">
        <v>2</v>
      </c>
      <c r="R35" s="17" t="s">
        <v>1</v>
      </c>
      <c r="S35" s="17" t="s">
        <v>25</v>
      </c>
      <c r="T35" s="17" t="s">
        <v>26</v>
      </c>
      <c r="U35" s="18" t="s">
        <v>20</v>
      </c>
      <c r="V35" s="18" t="s">
        <v>22</v>
      </c>
      <c r="W35" s="18" t="s">
        <v>24</v>
      </c>
      <c r="X35" s="77" t="s">
        <v>19</v>
      </c>
      <c r="Y35" s="79" t="s">
        <v>23</v>
      </c>
      <c r="Z35" s="125" t="s">
        <v>39</v>
      </c>
      <c r="AD35" s="66"/>
      <c r="AE35">
        <v>0.52</v>
      </c>
    </row>
    <row r="36" spans="1:31" ht="17" thickBot="1" x14ac:dyDescent="0.25">
      <c r="A36" s="108"/>
      <c r="B36" s="111"/>
      <c r="C36" s="111"/>
      <c r="D36" s="111"/>
      <c r="E36" s="72"/>
      <c r="F36" s="72"/>
      <c r="G36" s="72"/>
      <c r="H36" s="72"/>
      <c r="I36" s="75"/>
      <c r="J36" s="68"/>
      <c r="K36" s="68"/>
      <c r="L36" s="68"/>
      <c r="M36" s="67"/>
      <c r="N36" s="114"/>
      <c r="O36" s="36"/>
      <c r="P36" s="36"/>
      <c r="Q36" s="2">
        <v>15</v>
      </c>
      <c r="R36" s="28"/>
      <c r="S36" s="28"/>
      <c r="T36" s="28"/>
      <c r="U36" s="16"/>
      <c r="V36" s="16"/>
      <c r="W36" s="29"/>
      <c r="X36" s="78"/>
      <c r="Y36" s="80"/>
      <c r="Z36" s="125"/>
      <c r="AD36" s="66">
        <v>1.3291601358251244</v>
      </c>
      <c r="AE36">
        <v>0.41</v>
      </c>
    </row>
    <row r="37" spans="1:31" ht="17" thickBot="1" x14ac:dyDescent="0.25">
      <c r="A37" s="108"/>
      <c r="B37" s="111"/>
      <c r="C37" s="111"/>
      <c r="D37" s="111"/>
      <c r="E37" s="72"/>
      <c r="F37" s="72"/>
      <c r="G37" s="72"/>
      <c r="H37" s="72"/>
      <c r="I37" s="75"/>
      <c r="J37" s="68"/>
      <c r="K37" s="68"/>
      <c r="L37" s="68"/>
      <c r="M37" s="67"/>
      <c r="N37" s="114"/>
      <c r="O37" s="36"/>
      <c r="P37" s="36"/>
      <c r="Q37" s="2">
        <f>Q36-2</f>
        <v>13</v>
      </c>
      <c r="R37" s="28"/>
      <c r="S37" s="28"/>
      <c r="T37" s="28"/>
      <c r="U37" s="16"/>
      <c r="V37" s="16"/>
      <c r="W37" s="29"/>
      <c r="X37" s="23">
        <v>0.5625</v>
      </c>
      <c r="Y37" s="81">
        <v>0.61111111111111116</v>
      </c>
      <c r="Z37" s="125"/>
      <c r="AD37" s="66"/>
      <c r="AE37">
        <v>1.03</v>
      </c>
    </row>
    <row r="38" spans="1:31" x14ac:dyDescent="0.2">
      <c r="A38" s="108"/>
      <c r="B38" s="111"/>
      <c r="C38" s="111"/>
      <c r="D38" s="111"/>
      <c r="E38" s="72"/>
      <c r="F38" s="72"/>
      <c r="G38" s="72"/>
      <c r="H38" s="72"/>
      <c r="I38" s="75"/>
      <c r="J38" s="69"/>
      <c r="K38" s="69"/>
      <c r="L38" s="69"/>
      <c r="M38" s="67"/>
      <c r="N38" s="114"/>
      <c r="O38" s="36"/>
      <c r="P38" s="36"/>
      <c r="Q38" s="2">
        <f>Q37-2</f>
        <v>11</v>
      </c>
      <c r="R38" s="2">
        <f>T38-Q38</f>
        <v>6</v>
      </c>
      <c r="S38" s="2">
        <v>19</v>
      </c>
      <c r="T38" s="2">
        <v>17</v>
      </c>
      <c r="U38" s="9">
        <f>0.098*J39*M39*0.5*R38</f>
        <v>1.4068323359999999</v>
      </c>
      <c r="V38" s="9">
        <f>0.098*J39*M39*Q38</f>
        <v>5.1583852319999997</v>
      </c>
      <c r="W38" s="9">
        <f>0.098*J39*M39*(S38-T38)</f>
        <v>0.93788822399999994</v>
      </c>
      <c r="X38" s="84"/>
      <c r="Y38" s="82"/>
      <c r="Z38" s="125"/>
      <c r="AD38" s="66"/>
    </row>
    <row r="39" spans="1:31" x14ac:dyDescent="0.2">
      <c r="A39" s="108"/>
      <c r="B39" s="111"/>
      <c r="C39" s="111"/>
      <c r="D39" s="111"/>
      <c r="E39" s="72"/>
      <c r="F39" s="72"/>
      <c r="G39" s="72"/>
      <c r="H39" s="72"/>
      <c r="I39" s="75"/>
      <c r="J39" s="86">
        <f>(7*F42)/1000</f>
        <v>0.39876199999999995</v>
      </c>
      <c r="K39" s="89">
        <v>30</v>
      </c>
      <c r="L39" s="92">
        <v>11</v>
      </c>
      <c r="M39" s="92">
        <v>12</v>
      </c>
      <c r="N39" s="114"/>
      <c r="O39" s="36"/>
      <c r="P39" s="36"/>
      <c r="Q39" s="2">
        <f>Q38-2</f>
        <v>9</v>
      </c>
      <c r="R39" s="2">
        <f t="shared" ref="R39:R41" si="1">T39-Q39</f>
        <v>6</v>
      </c>
      <c r="S39" s="2">
        <v>17</v>
      </c>
      <c r="T39" s="2">
        <v>15</v>
      </c>
      <c r="U39" s="9">
        <f>0.098*J39*M39*0.5*R39</f>
        <v>1.4068323359999999</v>
      </c>
      <c r="V39" s="9">
        <f>0.098*J39*M39*Q39</f>
        <v>4.2204970079999997</v>
      </c>
      <c r="W39" s="9">
        <f>0.098*J39*M39*(S39-T39)</f>
        <v>0.93788822399999994</v>
      </c>
      <c r="X39" s="84"/>
      <c r="Y39" s="82"/>
      <c r="Z39" s="101">
        <f>_xlfn.STDEV.S(R36:R41)</f>
        <v>0</v>
      </c>
      <c r="AD39" s="66">
        <v>0.752772652709081</v>
      </c>
    </row>
    <row r="40" spans="1:31" x14ac:dyDescent="0.2">
      <c r="A40" s="108"/>
      <c r="B40" s="111"/>
      <c r="C40" s="111"/>
      <c r="D40" s="111"/>
      <c r="E40" s="72"/>
      <c r="F40" s="72"/>
      <c r="G40" s="72"/>
      <c r="H40" s="72"/>
      <c r="I40" s="75"/>
      <c r="J40" s="87"/>
      <c r="K40" s="90"/>
      <c r="L40" s="93"/>
      <c r="M40" s="92"/>
      <c r="N40" s="114"/>
      <c r="O40" s="36"/>
      <c r="P40" s="36"/>
      <c r="Q40" s="2">
        <f>Q39-2</f>
        <v>7</v>
      </c>
      <c r="R40" s="2">
        <f t="shared" si="1"/>
        <v>6</v>
      </c>
      <c r="S40" s="2">
        <v>15</v>
      </c>
      <c r="T40" s="2">
        <v>13</v>
      </c>
      <c r="U40" s="9">
        <f>0.098*J39*M39*0.5*R40</f>
        <v>1.4068323359999999</v>
      </c>
      <c r="V40" s="9">
        <f>0.098*J39*M39*Q40</f>
        <v>3.2826087839999998</v>
      </c>
      <c r="W40" s="9">
        <f>0.098*J39*M39*(S40-T40)</f>
        <v>0.93788822399999994</v>
      </c>
      <c r="X40" s="84"/>
      <c r="Y40" s="82"/>
      <c r="Z40" s="101"/>
      <c r="AD40" s="66"/>
    </row>
    <row r="41" spans="1:31" ht="17" thickBot="1" x14ac:dyDescent="0.25">
      <c r="A41" s="109"/>
      <c r="B41" s="112"/>
      <c r="C41" s="112"/>
      <c r="D41" s="112"/>
      <c r="E41" s="73"/>
      <c r="F41" s="73"/>
      <c r="G41" s="73"/>
      <c r="H41" s="73"/>
      <c r="I41" s="76"/>
      <c r="J41" s="97"/>
      <c r="K41" s="96"/>
      <c r="L41" s="95"/>
      <c r="M41" s="92"/>
      <c r="N41" s="114"/>
      <c r="O41" s="37"/>
      <c r="P41" s="37"/>
      <c r="Q41" s="22">
        <f>Q40-2</f>
        <v>5</v>
      </c>
      <c r="R41" s="2">
        <f t="shared" si="1"/>
        <v>6</v>
      </c>
      <c r="S41" s="2">
        <v>13</v>
      </c>
      <c r="T41" s="2">
        <v>11</v>
      </c>
      <c r="U41" s="9">
        <f>0.098*J39*M39*0.5*R41</f>
        <v>1.4068323359999999</v>
      </c>
      <c r="V41" s="9">
        <f>0.098*J39*M39*Q41</f>
        <v>2.3447205599999998</v>
      </c>
      <c r="W41" s="9">
        <f>0.098*J39*M39*(S41-T41)</f>
        <v>0.93788822399999994</v>
      </c>
      <c r="X41" s="84"/>
      <c r="Y41" s="82"/>
      <c r="Z41" s="101"/>
      <c r="AA41" t="s">
        <v>41</v>
      </c>
      <c r="AD41" s="66"/>
    </row>
    <row r="42" spans="1:31" x14ac:dyDescent="0.2">
      <c r="A42" s="19">
        <f>A28+1</f>
        <v>2</v>
      </c>
      <c r="B42" s="3" t="s">
        <v>4</v>
      </c>
      <c r="C42" s="3">
        <v>56</v>
      </c>
      <c r="D42" s="3">
        <v>165</v>
      </c>
      <c r="E42" s="3">
        <v>94</v>
      </c>
      <c r="F42" s="3">
        <f>IF(B42="M", 50 + 0.91*(D42-152.4), IF(B42="F", 45.5 + 0.91*(D42-152.4), ""))</f>
        <v>56.965999999999994</v>
      </c>
      <c r="G42" s="3">
        <v>72</v>
      </c>
      <c r="H42" s="5">
        <f>E42/(D42*10^-2)^2</f>
        <v>34.52708907254361</v>
      </c>
      <c r="I42" s="116" t="s">
        <v>15</v>
      </c>
      <c r="J42" s="70" t="s">
        <v>13</v>
      </c>
      <c r="K42" s="70" t="s">
        <v>33</v>
      </c>
      <c r="L42" s="70" t="s">
        <v>17</v>
      </c>
      <c r="M42" s="70" t="s">
        <v>0</v>
      </c>
      <c r="N42" s="114"/>
      <c r="O42" s="4" t="s">
        <v>6</v>
      </c>
      <c r="P42" s="4" t="s">
        <v>34</v>
      </c>
      <c r="Q42" s="6" t="s">
        <v>2</v>
      </c>
      <c r="R42" s="6" t="s">
        <v>1</v>
      </c>
      <c r="S42" s="17" t="s">
        <v>25</v>
      </c>
      <c r="T42" s="17" t="s">
        <v>26</v>
      </c>
      <c r="U42" s="7" t="s">
        <v>21</v>
      </c>
      <c r="V42" s="7" t="s">
        <v>22</v>
      </c>
      <c r="W42" s="31" t="s">
        <v>24</v>
      </c>
      <c r="X42" s="84"/>
      <c r="Y42" s="82"/>
      <c r="Z42" s="125" t="s">
        <v>39</v>
      </c>
      <c r="AA42" t="s">
        <v>43</v>
      </c>
      <c r="AD42" s="66">
        <v>0.40824829046386302</v>
      </c>
    </row>
    <row r="43" spans="1:31" x14ac:dyDescent="0.2">
      <c r="A43" s="98"/>
      <c r="B43" s="99"/>
      <c r="C43" s="99"/>
      <c r="D43" s="99"/>
      <c r="E43" s="99"/>
      <c r="F43" s="99"/>
      <c r="G43" s="99"/>
      <c r="H43" s="100"/>
      <c r="I43" s="75"/>
      <c r="J43" s="68"/>
      <c r="K43" s="68"/>
      <c r="L43" s="68"/>
      <c r="M43" s="68"/>
      <c r="N43" s="114"/>
      <c r="O43" s="36"/>
      <c r="P43" s="36"/>
      <c r="Q43" s="2">
        <v>15</v>
      </c>
      <c r="R43" s="2">
        <f>T43-Q43</f>
        <v>7</v>
      </c>
      <c r="S43" s="2">
        <v>25</v>
      </c>
      <c r="T43" s="2">
        <v>22</v>
      </c>
      <c r="U43" s="10">
        <f>0.098*J46*M46*0.5*R43</f>
        <v>1.934394462</v>
      </c>
      <c r="V43" s="10">
        <f>0.098*J46*M46*Q43</f>
        <v>8.2902619800000004</v>
      </c>
      <c r="W43" s="10">
        <f>0.098*J46*M46*(S43-T43)</f>
        <v>1.658052396</v>
      </c>
      <c r="X43" s="84"/>
      <c r="Y43" s="82"/>
      <c r="Z43" s="125"/>
      <c r="AD43" s="66"/>
    </row>
    <row r="44" spans="1:31" x14ac:dyDescent="0.2">
      <c r="A44" s="101"/>
      <c r="B44" s="102"/>
      <c r="C44" s="102"/>
      <c r="D44" s="102"/>
      <c r="E44" s="102"/>
      <c r="F44" s="102"/>
      <c r="G44" s="102"/>
      <c r="H44" s="103"/>
      <c r="I44" s="75"/>
      <c r="J44" s="68"/>
      <c r="K44" s="68"/>
      <c r="L44" s="68"/>
      <c r="M44" s="68"/>
      <c r="N44" s="114"/>
      <c r="O44" s="36"/>
      <c r="P44" s="36"/>
      <c r="Q44" s="2">
        <f>Q43-2</f>
        <v>13</v>
      </c>
      <c r="R44" s="2">
        <f t="shared" ref="R44:R48" si="2">T44-Q44</f>
        <v>7</v>
      </c>
      <c r="S44" s="2">
        <v>22</v>
      </c>
      <c r="T44" s="2">
        <v>20</v>
      </c>
      <c r="U44" s="10">
        <f>0.098*J46*M46*0.5*R44</f>
        <v>1.934394462</v>
      </c>
      <c r="V44" s="10">
        <f>0.098*J46*M46*Q44</f>
        <v>7.1848937159999995</v>
      </c>
      <c r="W44" s="10">
        <f>0.098*J46*M46*(S44-T44)</f>
        <v>1.105368264</v>
      </c>
      <c r="X44" s="84"/>
      <c r="Y44" s="82"/>
      <c r="Z44" s="125"/>
      <c r="AD44" s="66"/>
    </row>
    <row r="45" spans="1:31" x14ac:dyDescent="0.2">
      <c r="A45" s="101"/>
      <c r="B45" s="102"/>
      <c r="C45" s="102"/>
      <c r="D45" s="102"/>
      <c r="E45" s="102"/>
      <c r="F45" s="102"/>
      <c r="G45" s="102"/>
      <c r="H45" s="103"/>
      <c r="I45" s="75"/>
      <c r="J45" s="69"/>
      <c r="K45" s="69"/>
      <c r="L45" s="69"/>
      <c r="M45" s="69"/>
      <c r="N45" s="114"/>
      <c r="O45" s="36"/>
      <c r="P45" s="36"/>
      <c r="Q45" s="2">
        <f>Q44-2</f>
        <v>11</v>
      </c>
      <c r="R45" s="2">
        <f t="shared" si="2"/>
        <v>6</v>
      </c>
      <c r="S45" s="2">
        <v>20</v>
      </c>
      <c r="T45" s="2">
        <v>17</v>
      </c>
      <c r="U45" s="10">
        <f>0.098*J46*M46*0.5*R45</f>
        <v>1.658052396</v>
      </c>
      <c r="V45" s="10">
        <f>0.098*J46*M46*Q45</f>
        <v>6.0795254520000004</v>
      </c>
      <c r="W45" s="10">
        <f>0.098*J46*M46*(S45-T45)</f>
        <v>1.658052396</v>
      </c>
      <c r="X45" s="84"/>
      <c r="Y45" s="82"/>
      <c r="Z45" s="125"/>
      <c r="AD45" s="66">
        <v>1.4719601443879733</v>
      </c>
    </row>
    <row r="46" spans="1:31" x14ac:dyDescent="0.2">
      <c r="A46" s="101"/>
      <c r="B46" s="102"/>
      <c r="C46" s="102"/>
      <c r="D46" s="102"/>
      <c r="E46" s="102"/>
      <c r="F46" s="102"/>
      <c r="G46" s="102"/>
      <c r="H46" s="103"/>
      <c r="I46" s="75"/>
      <c r="J46" s="86">
        <f>(9*F42)/1000</f>
        <v>0.51269399999999998</v>
      </c>
      <c r="K46" s="89">
        <v>34</v>
      </c>
      <c r="L46" s="92">
        <v>3</v>
      </c>
      <c r="M46" s="92">
        <v>11</v>
      </c>
      <c r="N46" s="114"/>
      <c r="O46" s="36"/>
      <c r="P46" s="36"/>
      <c r="Q46" s="2">
        <f>Q45-2</f>
        <v>9</v>
      </c>
      <c r="R46" s="2">
        <f t="shared" si="2"/>
        <v>6</v>
      </c>
      <c r="S46" s="2">
        <v>18</v>
      </c>
      <c r="T46" s="2">
        <v>15</v>
      </c>
      <c r="U46" s="10">
        <f>0.098*J46*M46*0.5*R46</f>
        <v>1.658052396</v>
      </c>
      <c r="V46" s="10">
        <f>0.098*J46*M46*Q46</f>
        <v>4.9741571879999995</v>
      </c>
      <c r="W46" s="10">
        <f>0.098*J46*M46*(S46-T46)</f>
        <v>1.658052396</v>
      </c>
      <c r="X46" s="84"/>
      <c r="Y46" s="82"/>
      <c r="Z46" s="101">
        <f>_xlfn.STDEV.S(R43:R48)</f>
        <v>0.51639777949432231</v>
      </c>
      <c r="AD46" s="66"/>
    </row>
    <row r="47" spans="1:31" x14ac:dyDescent="0.2">
      <c r="A47" s="101"/>
      <c r="B47" s="102"/>
      <c r="C47" s="102"/>
      <c r="D47" s="102"/>
      <c r="E47" s="102"/>
      <c r="F47" s="102"/>
      <c r="G47" s="102"/>
      <c r="H47" s="103"/>
      <c r="I47" s="75"/>
      <c r="J47" s="87"/>
      <c r="K47" s="90"/>
      <c r="L47" s="93"/>
      <c r="M47" s="93"/>
      <c r="N47" s="114"/>
      <c r="O47" s="36"/>
      <c r="P47" s="36"/>
      <c r="Q47" s="2">
        <f>Q46-2</f>
        <v>7</v>
      </c>
      <c r="R47" s="2">
        <f t="shared" si="2"/>
        <v>7</v>
      </c>
      <c r="S47" s="2">
        <v>16</v>
      </c>
      <c r="T47" s="2">
        <v>14</v>
      </c>
      <c r="U47" s="10">
        <f>0.098*J46*M46*0.5*R46</f>
        <v>1.658052396</v>
      </c>
      <c r="V47" s="10">
        <f>0.098*J46*M46*Q47</f>
        <v>3.868788924</v>
      </c>
      <c r="W47" s="10">
        <f>0.098*J46*M46*(S47-T47)</f>
        <v>1.105368264</v>
      </c>
      <c r="X47" s="84"/>
      <c r="Y47" s="82"/>
      <c r="Z47" s="101"/>
      <c r="AD47" s="66"/>
    </row>
    <row r="48" spans="1:31" ht="17" thickBot="1" x14ac:dyDescent="0.25">
      <c r="A48" s="104"/>
      <c r="B48" s="105"/>
      <c r="C48" s="105"/>
      <c r="D48" s="105"/>
      <c r="E48" s="105"/>
      <c r="F48" s="105"/>
      <c r="G48" s="105"/>
      <c r="H48" s="106"/>
      <c r="I48" s="117"/>
      <c r="J48" s="88"/>
      <c r="K48" s="91"/>
      <c r="L48" s="94"/>
      <c r="M48" s="94"/>
      <c r="N48" s="115"/>
      <c r="O48" s="38"/>
      <c r="P48" s="38"/>
      <c r="Q48" s="20">
        <f>Q47-2</f>
        <v>5</v>
      </c>
      <c r="R48" s="2">
        <f t="shared" si="2"/>
        <v>7</v>
      </c>
      <c r="S48" s="20">
        <v>15</v>
      </c>
      <c r="T48" s="20">
        <v>12</v>
      </c>
      <c r="U48" s="21">
        <f>0.098*J46*M46*0.5*R48</f>
        <v>1.934394462</v>
      </c>
      <c r="V48" s="21">
        <f>0.098*J46*M46*Q48</f>
        <v>2.76342066</v>
      </c>
      <c r="W48" s="21">
        <f>0.098*J46*M46*(S48-T48)</f>
        <v>1.658052396</v>
      </c>
      <c r="X48" s="85"/>
      <c r="Y48" s="83"/>
      <c r="Z48" s="101"/>
      <c r="AD48" s="66">
        <v>0.75277265270908222</v>
      </c>
    </row>
    <row r="49" spans="1:30" x14ac:dyDescent="0.2">
      <c r="A49" s="107" t="s">
        <v>8</v>
      </c>
      <c r="B49" s="110" t="s">
        <v>3</v>
      </c>
      <c r="C49" s="110" t="s">
        <v>7</v>
      </c>
      <c r="D49" s="110" t="s">
        <v>9</v>
      </c>
      <c r="E49" s="71" t="s">
        <v>11</v>
      </c>
      <c r="F49" s="71" t="s">
        <v>10</v>
      </c>
      <c r="G49" s="71" t="s">
        <v>12</v>
      </c>
      <c r="H49" s="71" t="s">
        <v>32</v>
      </c>
      <c r="I49" s="74" t="s">
        <v>14</v>
      </c>
      <c r="J49" s="67" t="s">
        <v>13</v>
      </c>
      <c r="K49" s="67" t="s">
        <v>33</v>
      </c>
      <c r="L49" s="67" t="s">
        <v>17</v>
      </c>
      <c r="M49" s="67" t="s">
        <v>0</v>
      </c>
      <c r="N49" s="113" t="s">
        <v>16</v>
      </c>
      <c r="O49" s="24" t="s">
        <v>6</v>
      </c>
      <c r="P49" s="24" t="s">
        <v>34</v>
      </c>
      <c r="Q49" s="17" t="s">
        <v>2</v>
      </c>
      <c r="R49" s="17" t="s">
        <v>1</v>
      </c>
      <c r="S49" s="17" t="s">
        <v>25</v>
      </c>
      <c r="T49" s="17" t="s">
        <v>26</v>
      </c>
      <c r="U49" s="18" t="s">
        <v>20</v>
      </c>
      <c r="V49" s="18" t="s">
        <v>22</v>
      </c>
      <c r="W49" s="18" t="s">
        <v>24</v>
      </c>
      <c r="X49" s="77" t="s">
        <v>19</v>
      </c>
      <c r="Y49" s="79" t="s">
        <v>23</v>
      </c>
      <c r="Z49" s="125" t="s">
        <v>39</v>
      </c>
      <c r="AD49" s="66"/>
    </row>
    <row r="50" spans="1:30" x14ac:dyDescent="0.2">
      <c r="A50" s="108"/>
      <c r="B50" s="111"/>
      <c r="C50" s="111"/>
      <c r="D50" s="111"/>
      <c r="E50" s="72"/>
      <c r="F50" s="72"/>
      <c r="G50" s="72"/>
      <c r="H50" s="72"/>
      <c r="I50" s="75"/>
      <c r="J50" s="68"/>
      <c r="K50" s="68"/>
      <c r="L50" s="68"/>
      <c r="M50" s="68"/>
      <c r="N50" s="114"/>
      <c r="O50" s="36"/>
      <c r="P50" s="36"/>
      <c r="Q50" s="2">
        <v>15</v>
      </c>
      <c r="R50" s="2">
        <f>T50-Q50</f>
        <v>8</v>
      </c>
      <c r="S50" s="2">
        <v>26</v>
      </c>
      <c r="T50" s="2">
        <v>23</v>
      </c>
      <c r="U50" s="9">
        <f>0.098*J53*M53*0.5*R50</f>
        <v>2.143810368</v>
      </c>
      <c r="V50" s="9">
        <f>0.098*J53*M53*Q50</f>
        <v>8.0392888800000009</v>
      </c>
      <c r="W50" s="9">
        <f>0.098*J53*M53*(S50-T50)</f>
        <v>1.6078577759999999</v>
      </c>
      <c r="X50" s="78"/>
      <c r="Y50" s="80"/>
      <c r="Z50" s="125"/>
      <c r="AD50" s="66"/>
    </row>
    <row r="51" spans="1:30" x14ac:dyDescent="0.2">
      <c r="A51" s="108"/>
      <c r="B51" s="111"/>
      <c r="C51" s="111"/>
      <c r="D51" s="111"/>
      <c r="E51" s="72"/>
      <c r="F51" s="72"/>
      <c r="G51" s="72"/>
      <c r="H51" s="72"/>
      <c r="I51" s="75"/>
      <c r="J51" s="68"/>
      <c r="K51" s="68"/>
      <c r="L51" s="68"/>
      <c r="M51" s="68"/>
      <c r="N51" s="114"/>
      <c r="O51" s="36"/>
      <c r="P51" s="36"/>
      <c r="Q51" s="2">
        <f>Q50-2</f>
        <v>13</v>
      </c>
      <c r="R51" s="2">
        <f t="shared" ref="R51:R55" si="3">T51-Q51</f>
        <v>7</v>
      </c>
      <c r="S51" s="2">
        <v>22</v>
      </c>
      <c r="T51" s="2">
        <v>20</v>
      </c>
      <c r="U51" s="9">
        <f>0.098*J53*M53*0.5*R51</f>
        <v>1.875834072</v>
      </c>
      <c r="V51" s="9">
        <f>0.098*J53*M53*Q51</f>
        <v>6.9673836959999997</v>
      </c>
      <c r="W51" s="9">
        <f>0.098*J53*M53*(S51-T51)</f>
        <v>1.071905184</v>
      </c>
      <c r="X51" s="23">
        <v>0.56527777777777777</v>
      </c>
      <c r="Y51" s="81">
        <v>0.65277777777777801</v>
      </c>
      <c r="Z51" s="125"/>
      <c r="AD51" s="66">
        <v>1.2110601416389999</v>
      </c>
    </row>
    <row r="52" spans="1:30" x14ac:dyDescent="0.2">
      <c r="A52" s="108"/>
      <c r="B52" s="111"/>
      <c r="C52" s="111"/>
      <c r="D52" s="111"/>
      <c r="E52" s="72"/>
      <c r="F52" s="72"/>
      <c r="G52" s="72"/>
      <c r="H52" s="72"/>
      <c r="I52" s="75"/>
      <c r="J52" s="69"/>
      <c r="K52" s="69"/>
      <c r="L52" s="69"/>
      <c r="M52" s="69"/>
      <c r="N52" s="114"/>
      <c r="O52" s="36"/>
      <c r="P52" s="36"/>
      <c r="Q52" s="2">
        <f>Q51-2</f>
        <v>11</v>
      </c>
      <c r="R52" s="2">
        <f t="shared" si="3"/>
        <v>7</v>
      </c>
      <c r="S52" s="2">
        <v>20</v>
      </c>
      <c r="T52" s="2">
        <v>18</v>
      </c>
      <c r="U52" s="9">
        <f>0.098*J53*M53*0.5*R52</f>
        <v>1.875834072</v>
      </c>
      <c r="V52" s="9">
        <f>0.098*J53*M53*Q52</f>
        <v>5.8954785120000004</v>
      </c>
      <c r="W52" s="9">
        <f>0.098*J53*M53*(S52-T52)</f>
        <v>1.071905184</v>
      </c>
      <c r="X52" s="84"/>
      <c r="Y52" s="82"/>
      <c r="Z52" s="125"/>
      <c r="AD52" s="66"/>
    </row>
    <row r="53" spans="1:30" x14ac:dyDescent="0.2">
      <c r="A53" s="108"/>
      <c r="B53" s="111"/>
      <c r="C53" s="111"/>
      <c r="D53" s="111"/>
      <c r="E53" s="72"/>
      <c r="F53" s="72"/>
      <c r="G53" s="72"/>
      <c r="H53" s="72"/>
      <c r="I53" s="75"/>
      <c r="J53" s="86">
        <f>(7*F56)/1000</f>
        <v>0.45574199999999998</v>
      </c>
      <c r="K53" s="89">
        <v>34</v>
      </c>
      <c r="L53" s="92">
        <v>8</v>
      </c>
      <c r="M53" s="92">
        <v>12</v>
      </c>
      <c r="N53" s="114"/>
      <c r="O53" s="36"/>
      <c r="P53" s="36"/>
      <c r="Q53" s="2">
        <f>Q52-2</f>
        <v>9</v>
      </c>
      <c r="R53" s="2">
        <f t="shared" si="3"/>
        <v>6</v>
      </c>
      <c r="S53" s="2">
        <v>17</v>
      </c>
      <c r="T53" s="2">
        <v>15</v>
      </c>
      <c r="U53" s="9">
        <f>0.098*J53*M53*0.5*R53</f>
        <v>1.6078577759999999</v>
      </c>
      <c r="V53" s="9">
        <f>0.098*J53*M53*Q53</f>
        <v>4.8235733280000002</v>
      </c>
      <c r="W53" s="9">
        <f>0.098*J53*M53*(S53-T53)</f>
        <v>1.071905184</v>
      </c>
      <c r="X53" s="84"/>
      <c r="Y53" s="82"/>
      <c r="Z53" s="66">
        <f t="shared" ref="Z53" si="4">_xlfn.STDEV.S(R50:R55)</f>
        <v>0.8164965809277237</v>
      </c>
      <c r="AD53" s="66"/>
    </row>
    <row r="54" spans="1:30" x14ac:dyDescent="0.2">
      <c r="A54" s="108"/>
      <c r="B54" s="111"/>
      <c r="C54" s="111"/>
      <c r="D54" s="111"/>
      <c r="E54" s="72"/>
      <c r="F54" s="72"/>
      <c r="G54" s="72"/>
      <c r="H54" s="72"/>
      <c r="I54" s="75"/>
      <c r="J54" s="87"/>
      <c r="K54" s="90"/>
      <c r="L54" s="93"/>
      <c r="M54" s="93"/>
      <c r="N54" s="114"/>
      <c r="O54" s="36"/>
      <c r="P54" s="36"/>
      <c r="Q54" s="2">
        <f>Q53-2</f>
        <v>7</v>
      </c>
      <c r="R54" s="2">
        <f t="shared" si="3"/>
        <v>6</v>
      </c>
      <c r="S54" s="2">
        <v>15</v>
      </c>
      <c r="T54" s="2">
        <v>13</v>
      </c>
      <c r="U54" s="9">
        <f>0.098*J53*M53*0.5*R54</f>
        <v>1.6078577759999999</v>
      </c>
      <c r="V54" s="9">
        <f>0.098*J53*M53*Q54</f>
        <v>3.7516681439999999</v>
      </c>
      <c r="W54" s="9">
        <f>0.098*J53*M53*(S54-T54)</f>
        <v>1.071905184</v>
      </c>
      <c r="X54" s="84"/>
      <c r="Y54" s="82"/>
      <c r="Z54" s="66"/>
      <c r="AD54" s="66">
        <v>0.54772255750516607</v>
      </c>
    </row>
    <row r="55" spans="1:30" ht="17" thickBot="1" x14ac:dyDescent="0.25">
      <c r="A55" s="109"/>
      <c r="B55" s="112"/>
      <c r="C55" s="112"/>
      <c r="D55" s="112"/>
      <c r="E55" s="73"/>
      <c r="F55" s="73"/>
      <c r="G55" s="73"/>
      <c r="H55" s="73"/>
      <c r="I55" s="76"/>
      <c r="J55" s="97"/>
      <c r="K55" s="96"/>
      <c r="L55" s="95"/>
      <c r="M55" s="95"/>
      <c r="N55" s="114"/>
      <c r="O55" s="37"/>
      <c r="P55" s="37"/>
      <c r="Q55" s="2">
        <f>Q54-2</f>
        <v>5</v>
      </c>
      <c r="R55" s="2">
        <f t="shared" si="3"/>
        <v>6</v>
      </c>
      <c r="S55" s="2">
        <v>14</v>
      </c>
      <c r="T55" s="2">
        <v>11</v>
      </c>
      <c r="U55" s="9">
        <f>0.098*J53*M53*0.5*R55</f>
        <v>1.6078577759999999</v>
      </c>
      <c r="V55" s="9">
        <f>0.098*J53*M53*Q55</f>
        <v>2.6797629600000001</v>
      </c>
      <c r="W55" s="9">
        <f>0.098*J53*M53*(S55-T55)</f>
        <v>1.6078577759999999</v>
      </c>
      <c r="X55" s="84"/>
      <c r="Y55" s="82"/>
      <c r="Z55" s="66"/>
      <c r="AA55" t="s">
        <v>41</v>
      </c>
      <c r="AD55" s="66"/>
    </row>
    <row r="56" spans="1:30" x14ac:dyDescent="0.2">
      <c r="A56" s="19">
        <f>A42+1</f>
        <v>3</v>
      </c>
      <c r="B56" s="3" t="s">
        <v>5</v>
      </c>
      <c r="C56" s="3">
        <v>52</v>
      </c>
      <c r="D56" s="3">
        <v>169</v>
      </c>
      <c r="E56" s="3">
        <v>59</v>
      </c>
      <c r="F56" s="3">
        <f>IF(B56="M", 50 + 0.91*(D56-152.4), IF(B56="F", 45.5 + 0.91*(D56-152.4), ""))</f>
        <v>65.105999999999995</v>
      </c>
      <c r="G56" s="3">
        <v>101</v>
      </c>
      <c r="H56" s="5">
        <f>E56/(D56*10^-2)^2</f>
        <v>20.65754000210077</v>
      </c>
      <c r="I56" s="116" t="s">
        <v>15</v>
      </c>
      <c r="J56" s="70" t="s">
        <v>13</v>
      </c>
      <c r="K56" s="70" t="s">
        <v>33</v>
      </c>
      <c r="L56" s="70" t="s">
        <v>17</v>
      </c>
      <c r="M56" s="70" t="s">
        <v>0</v>
      </c>
      <c r="N56" s="114"/>
      <c r="O56" s="4" t="s">
        <v>6</v>
      </c>
      <c r="P56" s="4" t="s">
        <v>34</v>
      </c>
      <c r="Q56" s="6" t="s">
        <v>2</v>
      </c>
      <c r="R56" s="6" t="s">
        <v>1</v>
      </c>
      <c r="S56" s="17" t="s">
        <v>25</v>
      </c>
      <c r="T56" s="17" t="s">
        <v>26</v>
      </c>
      <c r="U56" s="7" t="s">
        <v>21</v>
      </c>
      <c r="V56" s="7" t="s">
        <v>22</v>
      </c>
      <c r="W56" s="7" t="s">
        <v>24</v>
      </c>
      <c r="X56" s="84"/>
      <c r="Y56" s="82"/>
      <c r="Z56" s="125" t="s">
        <v>39</v>
      </c>
      <c r="AA56" t="s">
        <v>44</v>
      </c>
      <c r="AD56" s="66"/>
    </row>
    <row r="57" spans="1:30" x14ac:dyDescent="0.2">
      <c r="A57" s="98"/>
      <c r="B57" s="99"/>
      <c r="C57" s="99"/>
      <c r="D57" s="99"/>
      <c r="E57" s="99"/>
      <c r="F57" s="99"/>
      <c r="G57" s="99"/>
      <c r="H57" s="100"/>
      <c r="I57" s="75"/>
      <c r="J57" s="68"/>
      <c r="K57" s="68"/>
      <c r="L57" s="68"/>
      <c r="M57" s="68"/>
      <c r="N57" s="114"/>
      <c r="O57" s="36"/>
      <c r="P57" s="36"/>
      <c r="Q57" s="2">
        <v>15</v>
      </c>
      <c r="R57" s="2">
        <f>T57-Q57</f>
        <v>10</v>
      </c>
      <c r="S57" s="2">
        <v>28</v>
      </c>
      <c r="T57" s="2">
        <v>25</v>
      </c>
      <c r="U57" s="10">
        <f>0.098*J60*M60*0.5*R57</f>
        <v>3.4454095200000001</v>
      </c>
      <c r="V57" s="10">
        <f>0.098*J60*M60*Q57</f>
        <v>10.33622856</v>
      </c>
      <c r="W57" s="10">
        <f>0.098*J60*M60*(S57-T57)</f>
        <v>2.0672457120000001</v>
      </c>
      <c r="X57" s="84"/>
      <c r="Y57" s="82"/>
      <c r="Z57" s="125"/>
      <c r="AD57" s="66">
        <v>0.40824829046386302</v>
      </c>
    </row>
    <row r="58" spans="1:30" x14ac:dyDescent="0.2">
      <c r="A58" s="101"/>
      <c r="B58" s="102"/>
      <c r="C58" s="102"/>
      <c r="D58" s="102"/>
      <c r="E58" s="102"/>
      <c r="F58" s="102"/>
      <c r="G58" s="102"/>
      <c r="H58" s="103"/>
      <c r="I58" s="75"/>
      <c r="J58" s="68"/>
      <c r="K58" s="68"/>
      <c r="L58" s="68"/>
      <c r="M58" s="68"/>
      <c r="N58" s="114"/>
      <c r="O58" s="36"/>
      <c r="P58" s="36"/>
      <c r="Q58" s="2">
        <f>Q57-2</f>
        <v>13</v>
      </c>
      <c r="R58" s="2">
        <f t="shared" ref="R58:R62" si="5">T58-Q58</f>
        <v>9</v>
      </c>
      <c r="S58" s="2">
        <v>25</v>
      </c>
      <c r="T58" s="2">
        <v>22</v>
      </c>
      <c r="U58" s="10">
        <f>0.098*J60*M60*0.5*R58</f>
        <v>3.1008685680000001</v>
      </c>
      <c r="V58" s="10">
        <f>0.098*J60*M60*Q58</f>
        <v>8.9580647520000003</v>
      </c>
      <c r="W58" s="10">
        <f>0.098*J60*M60*(S58-T58)</f>
        <v>2.0672457120000001</v>
      </c>
      <c r="X58" s="84"/>
      <c r="Y58" s="82"/>
      <c r="Z58" s="125"/>
      <c r="AD58" s="66"/>
    </row>
    <row r="59" spans="1:30" x14ac:dyDescent="0.2">
      <c r="A59" s="101"/>
      <c r="B59" s="102"/>
      <c r="C59" s="102"/>
      <c r="D59" s="102"/>
      <c r="E59" s="102"/>
      <c r="F59" s="102"/>
      <c r="G59" s="102"/>
      <c r="H59" s="103"/>
      <c r="I59" s="75"/>
      <c r="J59" s="69"/>
      <c r="K59" s="69"/>
      <c r="L59" s="69"/>
      <c r="M59" s="69"/>
      <c r="N59" s="114"/>
      <c r="O59" s="36"/>
      <c r="P59" s="36"/>
      <c r="Q59" s="2">
        <f>Q58-2</f>
        <v>11</v>
      </c>
      <c r="R59" s="2">
        <f t="shared" si="5"/>
        <v>9</v>
      </c>
      <c r="S59" s="2">
        <v>23</v>
      </c>
      <c r="T59" s="2">
        <v>20</v>
      </c>
      <c r="U59" s="10">
        <f>0.098*J60*M60*0.5*R59</f>
        <v>3.1008685680000001</v>
      </c>
      <c r="V59" s="10">
        <f>0.098*J60*M60*Q59</f>
        <v>7.5799009440000003</v>
      </c>
      <c r="W59" s="10">
        <f>0.098*J60*M60*(S59-T59)</f>
        <v>2.0672457120000001</v>
      </c>
      <c r="X59" s="84"/>
      <c r="Y59" s="82"/>
      <c r="Z59" s="125"/>
      <c r="AD59" s="66"/>
    </row>
    <row r="60" spans="1:30" x14ac:dyDescent="0.2">
      <c r="A60" s="101"/>
      <c r="B60" s="102"/>
      <c r="C60" s="102"/>
      <c r="D60" s="102"/>
      <c r="E60" s="102"/>
      <c r="F60" s="102"/>
      <c r="G60" s="102"/>
      <c r="H60" s="103"/>
      <c r="I60" s="75"/>
      <c r="J60" s="86">
        <f>(9*F56)/1000</f>
        <v>0.58595399999999997</v>
      </c>
      <c r="K60" s="89">
        <v>28</v>
      </c>
      <c r="L60" s="92">
        <f>29-16</f>
        <v>13</v>
      </c>
      <c r="M60" s="92">
        <v>12</v>
      </c>
      <c r="N60" s="114"/>
      <c r="O60" s="36"/>
      <c r="P60" s="36"/>
      <c r="Q60" s="2">
        <f>Q59-2</f>
        <v>9</v>
      </c>
      <c r="R60" s="2">
        <f t="shared" si="5"/>
        <v>8</v>
      </c>
      <c r="S60" s="2">
        <v>20</v>
      </c>
      <c r="T60" s="2">
        <v>17</v>
      </c>
      <c r="U60" s="10">
        <f>0.098*J60*M60*0.5*R60</f>
        <v>2.7563276160000001</v>
      </c>
      <c r="V60" s="10">
        <f>0.098*J60*M60*Q60</f>
        <v>6.2017371360000002</v>
      </c>
      <c r="W60" s="10">
        <f>0.098*J60*M60*(S60-T60)</f>
        <v>2.0672457120000001</v>
      </c>
      <c r="X60" s="84"/>
      <c r="Y60" s="82"/>
      <c r="Z60" s="101">
        <f t="shared" ref="Z60" si="6">_xlfn.STDEV.S(R57:R62)</f>
        <v>0.81649658092772603</v>
      </c>
      <c r="AD60" s="66">
        <v>0.51639777949432231</v>
      </c>
    </row>
    <row r="61" spans="1:30" x14ac:dyDescent="0.2">
      <c r="A61" s="101"/>
      <c r="B61" s="102"/>
      <c r="C61" s="102"/>
      <c r="D61" s="102"/>
      <c r="E61" s="102"/>
      <c r="F61" s="102"/>
      <c r="G61" s="102"/>
      <c r="H61" s="103"/>
      <c r="I61" s="75"/>
      <c r="J61" s="87"/>
      <c r="K61" s="90"/>
      <c r="L61" s="93"/>
      <c r="M61" s="93"/>
      <c r="N61" s="114"/>
      <c r="O61" s="36"/>
      <c r="P61" s="36"/>
      <c r="Q61" s="2">
        <f>Q60-2</f>
        <v>7</v>
      </c>
      <c r="R61" s="2">
        <f t="shared" si="5"/>
        <v>8</v>
      </c>
      <c r="S61" s="2">
        <v>18</v>
      </c>
      <c r="T61" s="2">
        <v>15</v>
      </c>
      <c r="U61" s="10">
        <f>0.098*J60*M60*0.5*R61</f>
        <v>2.7563276160000001</v>
      </c>
      <c r="V61" s="10">
        <f>0.098*J60*M60*Q61</f>
        <v>4.8235733280000002</v>
      </c>
      <c r="W61" s="10">
        <f>0.098*J60*M60*(S61-T61)</f>
        <v>2.0672457120000001</v>
      </c>
      <c r="X61" s="84"/>
      <c r="Y61" s="82"/>
      <c r="Z61" s="101"/>
      <c r="AD61" s="66"/>
    </row>
    <row r="62" spans="1:30" ht="17" thickBot="1" x14ac:dyDescent="0.25">
      <c r="A62" s="104"/>
      <c r="B62" s="105"/>
      <c r="C62" s="105"/>
      <c r="D62" s="105"/>
      <c r="E62" s="105"/>
      <c r="F62" s="105"/>
      <c r="G62" s="105"/>
      <c r="H62" s="106"/>
      <c r="I62" s="117"/>
      <c r="J62" s="88"/>
      <c r="K62" s="91"/>
      <c r="L62" s="94"/>
      <c r="M62" s="94"/>
      <c r="N62" s="115"/>
      <c r="O62" s="38"/>
      <c r="P62" s="38"/>
      <c r="Q62" s="20">
        <f>Q61-2</f>
        <v>5</v>
      </c>
      <c r="R62" s="2">
        <f t="shared" si="5"/>
        <v>8</v>
      </c>
      <c r="S62" s="20">
        <v>16</v>
      </c>
      <c r="T62" s="20">
        <v>13</v>
      </c>
      <c r="U62" s="21">
        <f>0.098*J60*M60*0.5*R62</f>
        <v>2.7563276160000001</v>
      </c>
      <c r="V62" s="21">
        <f>0.098*J60*M60*Q62</f>
        <v>3.4454095200000001</v>
      </c>
      <c r="W62" s="21">
        <f>0.098*J60*M60*(S62-T62)</f>
        <v>2.0672457120000001</v>
      </c>
      <c r="X62" s="85"/>
      <c r="Y62" s="83"/>
      <c r="Z62" s="101"/>
      <c r="AD62" s="66"/>
    </row>
    <row r="63" spans="1:30" ht="17" thickBot="1" x14ac:dyDescent="0.25">
      <c r="A63" s="107" t="s">
        <v>8</v>
      </c>
      <c r="B63" s="110" t="s">
        <v>3</v>
      </c>
      <c r="C63" s="110" t="s">
        <v>7</v>
      </c>
      <c r="D63" s="110" t="s">
        <v>9</v>
      </c>
      <c r="E63" s="71" t="s">
        <v>11</v>
      </c>
      <c r="F63" s="71" t="s">
        <v>10</v>
      </c>
      <c r="G63" s="71" t="s">
        <v>12</v>
      </c>
      <c r="H63" s="71" t="s">
        <v>32</v>
      </c>
      <c r="I63" s="74" t="s">
        <v>14</v>
      </c>
      <c r="J63" s="67" t="s">
        <v>31</v>
      </c>
      <c r="K63" s="67" t="s">
        <v>33</v>
      </c>
      <c r="L63" s="67" t="s">
        <v>17</v>
      </c>
      <c r="M63" s="67" t="s">
        <v>0</v>
      </c>
      <c r="N63" s="113" t="s">
        <v>16</v>
      </c>
      <c r="O63" s="4" t="s">
        <v>6</v>
      </c>
      <c r="P63" s="4" t="s">
        <v>34</v>
      </c>
      <c r="Q63" s="17" t="s">
        <v>2</v>
      </c>
      <c r="R63" s="17" t="s">
        <v>1</v>
      </c>
      <c r="S63" s="17" t="s">
        <v>25</v>
      </c>
      <c r="T63" s="17" t="s">
        <v>26</v>
      </c>
      <c r="U63" s="18" t="s">
        <v>20</v>
      </c>
      <c r="V63" s="18" t="s">
        <v>22</v>
      </c>
      <c r="W63" s="18" t="s">
        <v>24</v>
      </c>
      <c r="X63" s="77" t="s">
        <v>19</v>
      </c>
      <c r="Y63" s="79" t="s">
        <v>23</v>
      </c>
      <c r="Z63" s="125" t="s">
        <v>39</v>
      </c>
      <c r="AD63" s="66">
        <v>0.40824829046386302</v>
      </c>
    </row>
    <row r="64" spans="1:30" ht="17" thickBot="1" x14ac:dyDescent="0.25">
      <c r="A64" s="108"/>
      <c r="B64" s="111"/>
      <c r="C64" s="111"/>
      <c r="D64" s="111"/>
      <c r="E64" s="72"/>
      <c r="F64" s="72"/>
      <c r="G64" s="72"/>
      <c r="H64" s="72"/>
      <c r="I64" s="75"/>
      <c r="J64" s="68"/>
      <c r="K64" s="68"/>
      <c r="L64" s="68"/>
      <c r="M64" s="67"/>
      <c r="N64" s="114"/>
      <c r="O64" s="34">
        <v>33</v>
      </c>
      <c r="P64" s="34">
        <v>74</v>
      </c>
      <c r="Q64" s="2">
        <v>15</v>
      </c>
      <c r="R64" s="2">
        <f>T64-Q64</f>
        <v>5</v>
      </c>
      <c r="S64" s="2">
        <v>21</v>
      </c>
      <c r="T64" s="2">
        <v>20</v>
      </c>
      <c r="U64" s="9">
        <f t="shared" ref="U64" si="7">0.098*J67*M67*0.5*R64</f>
        <v>0.98508228000000009</v>
      </c>
      <c r="V64" s="9">
        <f t="shared" ref="V64" si="8">0.098*J67*M67*Q64</f>
        <v>5.9104936800000001</v>
      </c>
      <c r="W64" s="9">
        <f t="shared" ref="W64" si="9">0.098*J67*M67*(S64-T64)</f>
        <v>0.39403291200000001</v>
      </c>
      <c r="X64" s="78"/>
      <c r="Y64" s="80"/>
      <c r="Z64" s="125"/>
      <c r="AD64" s="66"/>
    </row>
    <row r="65" spans="1:30" ht="17" thickBot="1" x14ac:dyDescent="0.25">
      <c r="A65" s="108"/>
      <c r="B65" s="111"/>
      <c r="C65" s="111"/>
      <c r="D65" s="111"/>
      <c r="E65" s="72"/>
      <c r="F65" s="72"/>
      <c r="G65" s="72"/>
      <c r="H65" s="72"/>
      <c r="I65" s="75"/>
      <c r="J65" s="68"/>
      <c r="K65" s="68"/>
      <c r="L65" s="68"/>
      <c r="M65" s="67"/>
      <c r="N65" s="114"/>
      <c r="O65" s="34">
        <v>30</v>
      </c>
      <c r="P65" s="34">
        <v>74</v>
      </c>
      <c r="Q65" s="2">
        <f t="shared" ref="Q65:Q69" si="10">Q64-2</f>
        <v>13</v>
      </c>
      <c r="R65" s="2">
        <f t="shared" ref="R65:R69" si="11">T65-Q65</f>
        <v>4</v>
      </c>
      <c r="S65" s="2">
        <v>19</v>
      </c>
      <c r="T65" s="2">
        <v>17</v>
      </c>
      <c r="U65" s="9">
        <f t="shared" ref="U65" si="12">0.098*J67*M67*0.5*R65</f>
        <v>0.78806582400000003</v>
      </c>
      <c r="V65" s="9">
        <f t="shared" ref="V65" si="13">0.098*J67*M67*Q65</f>
        <v>5.1224278559999998</v>
      </c>
      <c r="W65" s="9">
        <f t="shared" ref="W65" si="14">0.098*J67*M67*(S65-T65)</f>
        <v>0.78806582400000003</v>
      </c>
      <c r="X65" s="23">
        <v>0.64583333333333337</v>
      </c>
      <c r="Y65" s="81">
        <v>0.65277777777777801</v>
      </c>
      <c r="Z65" s="125"/>
      <c r="AD65" s="66"/>
    </row>
    <row r="66" spans="1:30" x14ac:dyDescent="0.2">
      <c r="A66" s="108"/>
      <c r="B66" s="111"/>
      <c r="C66" s="111"/>
      <c r="D66" s="111"/>
      <c r="E66" s="72"/>
      <c r="F66" s="72"/>
      <c r="G66" s="72"/>
      <c r="H66" s="72"/>
      <c r="I66" s="75"/>
      <c r="J66" s="69"/>
      <c r="K66" s="69"/>
      <c r="L66" s="69"/>
      <c r="M66" s="67"/>
      <c r="N66" s="114"/>
      <c r="O66" s="34">
        <v>37</v>
      </c>
      <c r="P66" s="34">
        <v>70</v>
      </c>
      <c r="Q66" s="2">
        <f t="shared" si="10"/>
        <v>11</v>
      </c>
      <c r="R66" s="2">
        <f t="shared" si="11"/>
        <v>3</v>
      </c>
      <c r="S66" s="2">
        <v>16</v>
      </c>
      <c r="T66" s="2">
        <v>14</v>
      </c>
      <c r="U66" s="9">
        <f t="shared" ref="U66" si="15">0.098*J67*M67*0.5*R66</f>
        <v>0.59104936799999996</v>
      </c>
      <c r="V66" s="9">
        <f t="shared" ref="V66" si="16">0.098*J67*M67*Q66</f>
        <v>4.3343620320000005</v>
      </c>
      <c r="W66" s="9">
        <f t="shared" ref="W66" si="17">0.098*J67*M67*(S66-T66)</f>
        <v>0.78806582400000003</v>
      </c>
      <c r="X66" s="84"/>
      <c r="Y66" s="82"/>
      <c r="Z66" s="125"/>
      <c r="AD66" s="66">
        <v>1.0327955589886426</v>
      </c>
    </row>
    <row r="67" spans="1:30" x14ac:dyDescent="0.2">
      <c r="A67" s="108"/>
      <c r="B67" s="111"/>
      <c r="C67" s="111"/>
      <c r="D67" s="111"/>
      <c r="E67" s="72"/>
      <c r="F67" s="72"/>
      <c r="G67" s="72"/>
      <c r="H67" s="72"/>
      <c r="I67" s="75"/>
      <c r="J67" s="86">
        <f>(7*F70)/1000</f>
        <v>0.33506199999999997</v>
      </c>
      <c r="K67" s="89">
        <v>33</v>
      </c>
      <c r="L67" s="92">
        <v>5</v>
      </c>
      <c r="M67" s="92">
        <v>12</v>
      </c>
      <c r="N67" s="114"/>
      <c r="O67" s="34">
        <v>35</v>
      </c>
      <c r="P67" s="34">
        <v>76</v>
      </c>
      <c r="Q67" s="2">
        <f t="shared" si="10"/>
        <v>9</v>
      </c>
      <c r="R67" s="2">
        <f t="shared" si="11"/>
        <v>4</v>
      </c>
      <c r="S67" s="2">
        <v>16</v>
      </c>
      <c r="T67" s="2">
        <v>13</v>
      </c>
      <c r="U67" s="9">
        <f t="shared" ref="U67" si="18">0.098*J67*M67*0.5*R67</f>
        <v>0.78806582400000003</v>
      </c>
      <c r="V67" s="9">
        <f t="shared" ref="V67" si="19">0.098*J67*M67*Q67</f>
        <v>3.5462962080000002</v>
      </c>
      <c r="W67" s="9">
        <f t="shared" ref="W67" si="20">0.098*J67*M67*(S67-T67)</f>
        <v>1.1820987359999999</v>
      </c>
      <c r="X67" s="84"/>
      <c r="Y67" s="82"/>
      <c r="Z67" s="66">
        <f t="shared" ref="Z67" si="21">_xlfn.STDEV.S(R64:R69)</f>
        <v>0.75277265270908045</v>
      </c>
      <c r="AD67" s="66"/>
    </row>
    <row r="68" spans="1:30" x14ac:dyDescent="0.2">
      <c r="A68" s="108"/>
      <c r="B68" s="111"/>
      <c r="C68" s="111"/>
      <c r="D68" s="111"/>
      <c r="E68" s="72"/>
      <c r="F68" s="72"/>
      <c r="G68" s="72"/>
      <c r="H68" s="72"/>
      <c r="I68" s="75"/>
      <c r="J68" s="87"/>
      <c r="K68" s="90"/>
      <c r="L68" s="93"/>
      <c r="M68" s="92"/>
      <c r="N68" s="114"/>
      <c r="O68" s="34">
        <v>32</v>
      </c>
      <c r="P68" s="34">
        <v>73</v>
      </c>
      <c r="Q68" s="2">
        <f t="shared" si="10"/>
        <v>7</v>
      </c>
      <c r="R68" s="2">
        <f t="shared" si="11"/>
        <v>3</v>
      </c>
      <c r="S68" s="2">
        <v>13</v>
      </c>
      <c r="T68" s="2">
        <v>10</v>
      </c>
      <c r="U68" s="9">
        <f t="shared" ref="U68" si="22">0.098*J67*M67*0.5*R68</f>
        <v>0.59104936799999996</v>
      </c>
      <c r="V68" s="9">
        <f t="shared" ref="V68" si="23">0.098*J67*M67*Q68</f>
        <v>2.758230384</v>
      </c>
      <c r="W68" s="9">
        <f t="shared" ref="W68" si="24">0.098*J67*M67*(S68-T68)</f>
        <v>1.1820987359999999</v>
      </c>
      <c r="X68" s="84"/>
      <c r="Y68" s="82"/>
      <c r="Z68" s="66"/>
      <c r="AD68" s="66"/>
    </row>
    <row r="69" spans="1:30" ht="17" thickBot="1" x14ac:dyDescent="0.25">
      <c r="A69" s="109"/>
      <c r="B69" s="112"/>
      <c r="C69" s="112"/>
      <c r="D69" s="112"/>
      <c r="E69" s="73"/>
      <c r="F69" s="73"/>
      <c r="G69" s="73"/>
      <c r="H69" s="73"/>
      <c r="I69" s="76"/>
      <c r="J69" s="97"/>
      <c r="K69" s="96"/>
      <c r="L69" s="95"/>
      <c r="M69" s="92"/>
      <c r="N69" s="114"/>
      <c r="O69" s="34">
        <v>35</v>
      </c>
      <c r="P69" s="34">
        <v>72</v>
      </c>
      <c r="Q69" s="2">
        <f t="shared" si="10"/>
        <v>5</v>
      </c>
      <c r="R69" s="2">
        <f t="shared" si="11"/>
        <v>4</v>
      </c>
      <c r="S69" s="2">
        <v>13</v>
      </c>
      <c r="T69" s="2">
        <v>9</v>
      </c>
      <c r="U69" s="9">
        <f t="shared" ref="U69" si="25">0.098*J67*M67*0.5*R69</f>
        <v>0.78806582400000003</v>
      </c>
      <c r="V69" s="9">
        <f t="shared" ref="V69" si="26">0.098*J67*M67*Q69</f>
        <v>1.9701645600000002</v>
      </c>
      <c r="W69" s="9">
        <f t="shared" ref="W69" si="27">0.098*J67*M67*(S69-T69)</f>
        <v>1.5761316480000001</v>
      </c>
      <c r="X69" s="84"/>
      <c r="Y69" s="82"/>
      <c r="Z69" s="66"/>
      <c r="AA69" t="s">
        <v>41</v>
      </c>
    </row>
    <row r="70" spans="1:30" x14ac:dyDescent="0.2">
      <c r="A70" s="19">
        <f t="shared" ref="A70" si="28">A56+1</f>
        <v>4</v>
      </c>
      <c r="B70" s="3" t="s">
        <v>4</v>
      </c>
      <c r="C70" s="3">
        <v>63</v>
      </c>
      <c r="D70" s="3">
        <v>155</v>
      </c>
      <c r="E70" s="3">
        <v>52</v>
      </c>
      <c r="F70" s="3">
        <f>IF(B70="M", 50 + 0.91*(D70-152.4), IF(B70="F", 45.5 + 0.91*(D70-152.4), ""))</f>
        <v>47.865999999999993</v>
      </c>
      <c r="G70" s="3">
        <v>95</v>
      </c>
      <c r="H70" s="3">
        <f>E70/(D70*10^-2)^2</f>
        <v>21.644120707596251</v>
      </c>
      <c r="I70" s="116" t="s">
        <v>15</v>
      </c>
      <c r="J70" s="70" t="s">
        <v>31</v>
      </c>
      <c r="K70" s="70" t="s">
        <v>33</v>
      </c>
      <c r="L70" s="70" t="s">
        <v>17</v>
      </c>
      <c r="M70" s="70" t="s">
        <v>0</v>
      </c>
      <c r="N70" s="114"/>
      <c r="O70" s="4" t="s">
        <v>6</v>
      </c>
      <c r="P70" s="4" t="s">
        <v>34</v>
      </c>
      <c r="Q70" s="6" t="s">
        <v>2</v>
      </c>
      <c r="R70" s="6" t="s">
        <v>1</v>
      </c>
      <c r="S70" s="17" t="s">
        <v>25</v>
      </c>
      <c r="T70" s="17" t="s">
        <v>26</v>
      </c>
      <c r="U70" s="7" t="s">
        <v>21</v>
      </c>
      <c r="V70" s="7" t="s">
        <v>22</v>
      </c>
      <c r="W70" s="31" t="s">
        <v>24</v>
      </c>
      <c r="X70" s="84"/>
      <c r="Y70" s="82"/>
      <c r="Z70" s="125" t="s">
        <v>39</v>
      </c>
      <c r="AA70" t="s">
        <v>44</v>
      </c>
    </row>
    <row r="71" spans="1:30" x14ac:dyDescent="0.2">
      <c r="A71" s="98"/>
      <c r="B71" s="99"/>
      <c r="C71" s="99"/>
      <c r="D71" s="99"/>
      <c r="E71" s="99"/>
      <c r="F71" s="99"/>
      <c r="G71" s="99"/>
      <c r="H71" s="100"/>
      <c r="I71" s="75"/>
      <c r="J71" s="68"/>
      <c r="K71" s="68"/>
      <c r="L71" s="68"/>
      <c r="M71" s="68"/>
      <c r="N71" s="114"/>
      <c r="O71" s="34">
        <v>31</v>
      </c>
      <c r="P71" s="34">
        <v>72</v>
      </c>
      <c r="Q71" s="2">
        <v>15</v>
      </c>
      <c r="R71" s="2">
        <f>T71-Q71</f>
        <v>5</v>
      </c>
      <c r="S71" s="2">
        <v>24</v>
      </c>
      <c r="T71" s="2">
        <v>20</v>
      </c>
      <c r="U71" s="10">
        <f t="shared" ref="U71" si="29">0.098*J74*M74*0.5*R71</f>
        <v>1.1609898299999999</v>
      </c>
      <c r="V71" s="10">
        <f t="shared" ref="V71" si="30">0.098*J74*M74*Q71</f>
        <v>6.9659389799999989</v>
      </c>
      <c r="W71" s="10">
        <f t="shared" ref="W71" si="31">0.098*J74*M74*(S71-T71)</f>
        <v>1.8575837279999998</v>
      </c>
      <c r="X71" s="84"/>
      <c r="Y71" s="82"/>
      <c r="Z71" s="125"/>
    </row>
    <row r="72" spans="1:30" x14ac:dyDescent="0.2">
      <c r="A72" s="101"/>
      <c r="B72" s="102"/>
      <c r="C72" s="102"/>
      <c r="D72" s="102"/>
      <c r="E72" s="102"/>
      <c r="F72" s="102"/>
      <c r="G72" s="102"/>
      <c r="H72" s="103"/>
      <c r="I72" s="75"/>
      <c r="J72" s="68"/>
      <c r="K72" s="68"/>
      <c r="L72" s="68"/>
      <c r="M72" s="68"/>
      <c r="N72" s="114"/>
      <c r="O72" s="34">
        <v>28</v>
      </c>
      <c r="P72" s="34">
        <v>54</v>
      </c>
      <c r="Q72" s="2">
        <f t="shared" ref="Q72:Q76" si="32">Q71-2</f>
        <v>13</v>
      </c>
      <c r="R72" s="2">
        <f t="shared" ref="R72:R76" si="33">T72-Q72</f>
        <v>5</v>
      </c>
      <c r="S72" s="2">
        <v>21</v>
      </c>
      <c r="T72" s="2">
        <v>18</v>
      </c>
      <c r="U72" s="10">
        <f t="shared" ref="U72" si="34">0.098*J74*M74*0.5*R72</f>
        <v>1.1609898299999999</v>
      </c>
      <c r="V72" s="10">
        <f t="shared" ref="V72" si="35">0.098*J74*M74*Q72</f>
        <v>6.0371471159999999</v>
      </c>
      <c r="W72" s="10">
        <f t="shared" ref="W72" si="36">0.098*J74*M74*(S72-T72)</f>
        <v>1.3931877959999999</v>
      </c>
      <c r="X72" s="84"/>
      <c r="Y72" s="82"/>
      <c r="Z72" s="125"/>
    </row>
    <row r="73" spans="1:30" x14ac:dyDescent="0.2">
      <c r="A73" s="101"/>
      <c r="B73" s="102"/>
      <c r="C73" s="102"/>
      <c r="D73" s="102"/>
      <c r="E73" s="102"/>
      <c r="F73" s="102"/>
      <c r="G73" s="102"/>
      <c r="H73" s="103"/>
      <c r="I73" s="75"/>
      <c r="J73" s="69"/>
      <c r="K73" s="69"/>
      <c r="L73" s="69"/>
      <c r="M73" s="69"/>
      <c r="N73" s="114"/>
      <c r="O73" s="34">
        <v>31</v>
      </c>
      <c r="P73" s="34">
        <v>54</v>
      </c>
      <c r="Q73" s="2">
        <f t="shared" si="32"/>
        <v>11</v>
      </c>
      <c r="R73" s="2">
        <f t="shared" si="33"/>
        <v>4</v>
      </c>
      <c r="S73" s="2">
        <v>18</v>
      </c>
      <c r="T73" s="2">
        <v>15</v>
      </c>
      <c r="U73" s="10">
        <f t="shared" ref="U73" si="37">0.098*J74*M74*0.5*R73</f>
        <v>0.92879186399999991</v>
      </c>
      <c r="V73" s="10">
        <f t="shared" ref="V73" si="38">0.098*J74*M74*Q73</f>
        <v>5.1083552519999991</v>
      </c>
      <c r="W73" s="10">
        <f t="shared" ref="W73" si="39">0.098*J74*M74*(S73-T73)</f>
        <v>1.3931877959999999</v>
      </c>
      <c r="X73" s="84"/>
      <c r="Y73" s="82"/>
      <c r="Z73" s="125"/>
    </row>
    <row r="74" spans="1:30" x14ac:dyDescent="0.2">
      <c r="A74" s="101"/>
      <c r="B74" s="102"/>
      <c r="C74" s="102"/>
      <c r="D74" s="102"/>
      <c r="E74" s="102"/>
      <c r="F74" s="102"/>
      <c r="G74" s="102"/>
      <c r="H74" s="103"/>
      <c r="I74" s="75"/>
      <c r="J74" s="86">
        <f>(9*F70)/1000</f>
        <v>0.4307939999999999</v>
      </c>
      <c r="K74" s="89">
        <v>33</v>
      </c>
      <c r="L74" s="92">
        <v>7</v>
      </c>
      <c r="M74" s="92">
        <v>11</v>
      </c>
      <c r="N74" s="114"/>
      <c r="O74" s="34">
        <v>32</v>
      </c>
      <c r="P74" s="34">
        <v>53</v>
      </c>
      <c r="Q74" s="2">
        <f t="shared" si="32"/>
        <v>9</v>
      </c>
      <c r="R74" s="2">
        <f t="shared" si="33"/>
        <v>4</v>
      </c>
      <c r="S74" s="2">
        <v>16</v>
      </c>
      <c r="T74" s="2">
        <v>13</v>
      </c>
      <c r="U74" s="10">
        <f t="shared" ref="U74" si="40">0.098*J74*M74*0.5*R74</f>
        <v>0.92879186399999991</v>
      </c>
      <c r="V74" s="10">
        <f t="shared" ref="V74" si="41">0.098*J74*M74*Q74</f>
        <v>4.179563388</v>
      </c>
      <c r="W74" s="10">
        <f t="shared" ref="W74" si="42">0.098*J74*M74*(S74-T74)</f>
        <v>1.3931877959999999</v>
      </c>
      <c r="X74" s="84"/>
      <c r="Y74" s="82"/>
      <c r="Z74" s="101">
        <f t="shared" ref="Z74" si="43">_xlfn.STDEV.S(R71:R76)</f>
        <v>0.54772255750516607</v>
      </c>
    </row>
    <row r="75" spans="1:30" x14ac:dyDescent="0.2">
      <c r="A75" s="101"/>
      <c r="B75" s="102"/>
      <c r="C75" s="102"/>
      <c r="D75" s="102"/>
      <c r="E75" s="102"/>
      <c r="F75" s="102"/>
      <c r="G75" s="102"/>
      <c r="H75" s="103"/>
      <c r="I75" s="75"/>
      <c r="J75" s="87"/>
      <c r="K75" s="90"/>
      <c r="L75" s="93"/>
      <c r="M75" s="93"/>
      <c r="N75" s="114"/>
      <c r="O75" s="34">
        <v>33</v>
      </c>
      <c r="P75" s="34">
        <v>53</v>
      </c>
      <c r="Q75" s="2">
        <f t="shared" si="32"/>
        <v>7</v>
      </c>
      <c r="R75" s="2">
        <f t="shared" si="33"/>
        <v>4</v>
      </c>
      <c r="S75" s="2">
        <v>15</v>
      </c>
      <c r="T75" s="2">
        <v>11</v>
      </c>
      <c r="U75" s="10">
        <f t="shared" ref="U75" si="44">0.098*J74*M74*0.5*R75</f>
        <v>0.92879186399999991</v>
      </c>
      <c r="V75" s="10">
        <f t="shared" ref="V75" si="45">0.098*J74*M74*Q75</f>
        <v>3.2507715239999997</v>
      </c>
      <c r="W75" s="10">
        <f t="shared" ref="W75" si="46">0.098*J74*M74*(S75-T75)</f>
        <v>1.8575837279999998</v>
      </c>
      <c r="X75" s="84"/>
      <c r="Y75" s="82"/>
      <c r="Z75" s="101"/>
    </row>
    <row r="76" spans="1:30" ht="17" thickBot="1" x14ac:dyDescent="0.25">
      <c r="A76" s="104"/>
      <c r="B76" s="105"/>
      <c r="C76" s="105"/>
      <c r="D76" s="105"/>
      <c r="E76" s="105"/>
      <c r="F76" s="105"/>
      <c r="G76" s="105"/>
      <c r="H76" s="106"/>
      <c r="I76" s="117"/>
      <c r="J76" s="88"/>
      <c r="K76" s="91"/>
      <c r="L76" s="94"/>
      <c r="M76" s="94"/>
      <c r="N76" s="115"/>
      <c r="O76" s="35">
        <v>32</v>
      </c>
      <c r="P76" s="35">
        <v>53</v>
      </c>
      <c r="Q76" s="20">
        <f t="shared" si="32"/>
        <v>5</v>
      </c>
      <c r="R76" s="2">
        <f t="shared" si="33"/>
        <v>5</v>
      </c>
      <c r="S76" s="20">
        <v>14</v>
      </c>
      <c r="T76" s="20">
        <v>10</v>
      </c>
      <c r="U76" s="21">
        <f t="shared" ref="U76" si="47">0.098*J74*M74*0.5*R76</f>
        <v>1.1609898299999999</v>
      </c>
      <c r="V76" s="21">
        <f t="shared" ref="V76" si="48">0.098*J74*M74*Q76</f>
        <v>2.3219796599999998</v>
      </c>
      <c r="W76" s="21">
        <f t="shared" ref="W76" si="49">0.098*J74*M74*(S76-T76)</f>
        <v>1.8575837279999998</v>
      </c>
      <c r="X76" s="85"/>
      <c r="Y76" s="83"/>
      <c r="Z76" s="101"/>
    </row>
    <row r="77" spans="1:30" x14ac:dyDescent="0.2">
      <c r="A77" s="107" t="s">
        <v>8</v>
      </c>
      <c r="B77" s="110" t="s">
        <v>3</v>
      </c>
      <c r="C77" s="110" t="s">
        <v>7</v>
      </c>
      <c r="D77" s="110" t="s">
        <v>9</v>
      </c>
      <c r="E77" s="71" t="s">
        <v>11</v>
      </c>
      <c r="F77" s="71" t="s">
        <v>10</v>
      </c>
      <c r="G77" s="71" t="s">
        <v>12</v>
      </c>
      <c r="H77" s="71" t="s">
        <v>32</v>
      </c>
      <c r="I77" s="74" t="s">
        <v>14</v>
      </c>
      <c r="J77" s="67" t="s">
        <v>31</v>
      </c>
      <c r="K77" s="67" t="s">
        <v>33</v>
      </c>
      <c r="L77" s="67" t="s">
        <v>17</v>
      </c>
      <c r="M77" s="67" t="s">
        <v>0</v>
      </c>
      <c r="N77" s="113" t="s">
        <v>16</v>
      </c>
      <c r="O77" s="4" t="s">
        <v>6</v>
      </c>
      <c r="P77" s="4" t="s">
        <v>34</v>
      </c>
      <c r="Q77" s="17" t="s">
        <v>2</v>
      </c>
      <c r="R77" s="17" t="s">
        <v>1</v>
      </c>
      <c r="S77" s="17" t="s">
        <v>25</v>
      </c>
      <c r="T77" s="17" t="s">
        <v>26</v>
      </c>
      <c r="U77" s="18" t="s">
        <v>20</v>
      </c>
      <c r="V77" s="18" t="s">
        <v>22</v>
      </c>
      <c r="W77" s="47" t="s">
        <v>24</v>
      </c>
      <c r="X77" s="77" t="s">
        <v>19</v>
      </c>
      <c r="Y77" s="79" t="s">
        <v>23</v>
      </c>
      <c r="Z77" s="125" t="s">
        <v>39</v>
      </c>
    </row>
    <row r="78" spans="1:30" x14ac:dyDescent="0.2">
      <c r="A78" s="108"/>
      <c r="B78" s="111"/>
      <c r="C78" s="111"/>
      <c r="D78" s="111"/>
      <c r="E78" s="72"/>
      <c r="F78" s="72"/>
      <c r="G78" s="72"/>
      <c r="H78" s="72"/>
      <c r="I78" s="75"/>
      <c r="J78" s="68"/>
      <c r="K78" s="68"/>
      <c r="L78" s="68"/>
      <c r="M78" s="68"/>
      <c r="N78" s="114"/>
      <c r="O78" s="34">
        <v>38</v>
      </c>
      <c r="P78" s="34">
        <v>89</v>
      </c>
      <c r="Q78" s="2">
        <v>15</v>
      </c>
      <c r="R78" s="2">
        <f>T78-Q78</f>
        <v>6</v>
      </c>
      <c r="S78" s="2">
        <v>24</v>
      </c>
      <c r="T78" s="2">
        <v>21</v>
      </c>
      <c r="U78" s="9">
        <f t="shared" ref="U78" si="50">0.098*J81*M81*0.5*R78</f>
        <v>1.9449581760000001</v>
      </c>
      <c r="V78" s="9">
        <f t="shared" ref="V78" si="51">0.098*J81*M81*Q78</f>
        <v>9.7247908800000005</v>
      </c>
      <c r="W78" s="9">
        <f t="shared" ref="W78" si="52">0.098*J81*M81*(S78-T78)</f>
        <v>1.9449581760000001</v>
      </c>
      <c r="X78" s="78"/>
      <c r="Y78" s="80"/>
      <c r="Z78" s="125"/>
    </row>
    <row r="79" spans="1:30" x14ac:dyDescent="0.2">
      <c r="A79" s="108"/>
      <c r="B79" s="111"/>
      <c r="C79" s="111"/>
      <c r="D79" s="111"/>
      <c r="E79" s="72"/>
      <c r="F79" s="72"/>
      <c r="G79" s="72"/>
      <c r="H79" s="72"/>
      <c r="I79" s="75"/>
      <c r="J79" s="68"/>
      <c r="K79" s="68"/>
      <c r="L79" s="68"/>
      <c r="M79" s="68"/>
      <c r="N79" s="114"/>
      <c r="O79" s="34">
        <v>38</v>
      </c>
      <c r="P79" s="34">
        <v>79</v>
      </c>
      <c r="Q79" s="2">
        <f t="shared" ref="Q79:Q83" si="53">Q78-2</f>
        <v>13</v>
      </c>
      <c r="R79" s="2">
        <f t="shared" ref="R79:R83" si="54">T79-Q79</f>
        <v>6</v>
      </c>
      <c r="S79" s="2">
        <v>21</v>
      </c>
      <c r="T79" s="2">
        <v>19</v>
      </c>
      <c r="U79" s="9">
        <f t="shared" ref="U79" si="55">0.098*J81*M81*0.5*R79</f>
        <v>1.9449581760000001</v>
      </c>
      <c r="V79" s="9">
        <f t="shared" ref="V79" si="56">0.098*J81*M81*Q79</f>
        <v>8.4281520959999998</v>
      </c>
      <c r="W79" s="9" t="e">
        <f>0.098*J81*M81*(#REF!-T79)</f>
        <v>#REF!</v>
      </c>
      <c r="X79" s="23">
        <v>0.625</v>
      </c>
      <c r="Y79" s="81">
        <v>0.65277777777777801</v>
      </c>
      <c r="Z79" s="125"/>
    </row>
    <row r="80" spans="1:30" x14ac:dyDescent="0.2">
      <c r="A80" s="108"/>
      <c r="B80" s="111"/>
      <c r="C80" s="111"/>
      <c r="D80" s="111"/>
      <c r="E80" s="72"/>
      <c r="F80" s="72"/>
      <c r="G80" s="72"/>
      <c r="H80" s="72"/>
      <c r="I80" s="75"/>
      <c r="J80" s="69"/>
      <c r="K80" s="69"/>
      <c r="L80" s="69"/>
      <c r="M80" s="69"/>
      <c r="N80" s="114"/>
      <c r="O80" s="34">
        <v>38</v>
      </c>
      <c r="P80" s="34">
        <v>79</v>
      </c>
      <c r="Q80" s="2">
        <f t="shared" si="53"/>
        <v>11</v>
      </c>
      <c r="R80" s="2">
        <f t="shared" si="54"/>
        <v>6</v>
      </c>
      <c r="S80" s="27">
        <v>19</v>
      </c>
      <c r="T80" s="2">
        <v>17</v>
      </c>
      <c r="U80" s="9">
        <f t="shared" ref="U80" si="57">0.098*J81*M81*0.5*R80</f>
        <v>1.9449581760000001</v>
      </c>
      <c r="V80" s="9">
        <f t="shared" ref="V80" si="58">0.098*J81*M81*Q80</f>
        <v>7.131513312</v>
      </c>
      <c r="W80" s="9">
        <f>0.098*J81*M81*(S79-T80)</f>
        <v>2.593277568</v>
      </c>
      <c r="X80" s="84"/>
      <c r="Y80" s="82"/>
      <c r="Z80" s="125"/>
    </row>
    <row r="81" spans="1:27" x14ac:dyDescent="0.2">
      <c r="A81" s="108"/>
      <c r="B81" s="111"/>
      <c r="C81" s="111"/>
      <c r="D81" s="111"/>
      <c r="E81" s="72"/>
      <c r="F81" s="72"/>
      <c r="G81" s="72"/>
      <c r="H81" s="72"/>
      <c r="I81" s="75"/>
      <c r="J81" s="86">
        <f t="shared" ref="J81" si="59">(7*F84)/1000</f>
        <v>0.551292</v>
      </c>
      <c r="K81" s="89">
        <v>36</v>
      </c>
      <c r="L81" s="92">
        <v>7</v>
      </c>
      <c r="M81" s="92">
        <v>12</v>
      </c>
      <c r="N81" s="114"/>
      <c r="O81" s="34">
        <v>39</v>
      </c>
      <c r="P81" s="34">
        <v>79</v>
      </c>
      <c r="Q81" s="2">
        <f t="shared" si="53"/>
        <v>9</v>
      </c>
      <c r="R81" s="2">
        <f t="shared" si="54"/>
        <v>5</v>
      </c>
      <c r="S81" s="2">
        <v>17</v>
      </c>
      <c r="T81" s="2">
        <v>14</v>
      </c>
      <c r="U81" s="9">
        <f t="shared" ref="U81" si="60">0.098*J81*M81*0.5*R81</f>
        <v>1.6207984799999999</v>
      </c>
      <c r="V81" s="9">
        <f t="shared" ref="V81" si="61">0.098*J81*M81*Q81</f>
        <v>5.8348745280000003</v>
      </c>
      <c r="W81" s="9">
        <f t="shared" ref="W81" si="62">0.098*J81*M81*(S81-T81)</f>
        <v>1.9449581760000001</v>
      </c>
      <c r="X81" s="84"/>
      <c r="Y81" s="82"/>
      <c r="Z81" s="66">
        <f t="shared" ref="Z81" si="63">_xlfn.STDEV.S(R78:R83)</f>
        <v>0.40824829046386302</v>
      </c>
    </row>
    <row r="82" spans="1:27" x14ac:dyDescent="0.2">
      <c r="A82" s="108"/>
      <c r="B82" s="111"/>
      <c r="C82" s="111"/>
      <c r="D82" s="111"/>
      <c r="E82" s="72"/>
      <c r="F82" s="72"/>
      <c r="G82" s="72"/>
      <c r="H82" s="72"/>
      <c r="I82" s="75"/>
      <c r="J82" s="87"/>
      <c r="K82" s="90"/>
      <c r="L82" s="93"/>
      <c r="M82" s="93"/>
      <c r="N82" s="114"/>
      <c r="O82" s="34">
        <v>38</v>
      </c>
      <c r="P82" s="34">
        <v>79</v>
      </c>
      <c r="Q82" s="2">
        <f t="shared" si="53"/>
        <v>7</v>
      </c>
      <c r="R82" s="2">
        <f t="shared" si="54"/>
        <v>6</v>
      </c>
      <c r="S82" s="2">
        <v>16</v>
      </c>
      <c r="T82" s="2">
        <v>13</v>
      </c>
      <c r="U82" s="9">
        <f t="shared" ref="U82" si="64">0.098*J81*M81*0.5*R82</f>
        <v>1.9449581760000001</v>
      </c>
      <c r="V82" s="9">
        <f t="shared" ref="V82" si="65">0.098*J81*M81*Q82</f>
        <v>4.5382357439999996</v>
      </c>
      <c r="W82" s="9">
        <f t="shared" ref="W82" si="66">0.098*J81*M81*(S82-T82)</f>
        <v>1.9449581760000001</v>
      </c>
      <c r="X82" s="84"/>
      <c r="Y82" s="82"/>
      <c r="Z82" s="66"/>
    </row>
    <row r="83" spans="1:27" ht="17" thickBot="1" x14ac:dyDescent="0.25">
      <c r="A83" s="109"/>
      <c r="B83" s="112"/>
      <c r="C83" s="112"/>
      <c r="D83" s="112"/>
      <c r="E83" s="73"/>
      <c r="F83" s="73"/>
      <c r="G83" s="73"/>
      <c r="H83" s="73"/>
      <c r="I83" s="76"/>
      <c r="J83" s="97"/>
      <c r="K83" s="96"/>
      <c r="L83" s="95"/>
      <c r="M83" s="95"/>
      <c r="N83" s="114"/>
      <c r="O83" s="34">
        <v>38</v>
      </c>
      <c r="P83" s="34">
        <v>69</v>
      </c>
      <c r="Q83" s="2">
        <f t="shared" si="53"/>
        <v>5</v>
      </c>
      <c r="R83" s="2">
        <f t="shared" si="54"/>
        <v>6</v>
      </c>
      <c r="S83" s="2">
        <v>14</v>
      </c>
      <c r="T83" s="2">
        <v>11</v>
      </c>
      <c r="U83" s="9">
        <f t="shared" ref="U83" si="67">0.098*J81*M81*0.5*R83</f>
        <v>1.9449581760000001</v>
      </c>
      <c r="V83" s="9">
        <f t="shared" ref="V83" si="68">0.098*J81*M81*Q83</f>
        <v>3.2415969599999999</v>
      </c>
      <c r="W83" s="9">
        <f t="shared" ref="W83" si="69">0.098*J81*M81*(S83-T83)</f>
        <v>1.9449581760000001</v>
      </c>
      <c r="X83" s="84"/>
      <c r="Y83" s="82"/>
      <c r="Z83" s="66"/>
      <c r="AA83" t="s">
        <v>41</v>
      </c>
    </row>
    <row r="84" spans="1:27" x14ac:dyDescent="0.2">
      <c r="A84" s="19">
        <f t="shared" ref="A84" si="70">A70+1</f>
        <v>5</v>
      </c>
      <c r="B84" s="3" t="s">
        <v>5</v>
      </c>
      <c r="C84" s="3">
        <v>34</v>
      </c>
      <c r="D84" s="3">
        <v>184</v>
      </c>
      <c r="E84" s="3">
        <v>96</v>
      </c>
      <c r="F84" s="3">
        <f>IF(B84="M", 50 + 0.91*(D84-152.4), IF(B84="F", 45.5 + 0.91*(D84-152.4), ""))</f>
        <v>78.756</v>
      </c>
      <c r="G84" s="3">
        <v>89</v>
      </c>
      <c r="H84" s="3">
        <f t="shared" ref="H84" si="71">E84/(D84*10^-2)^2</f>
        <v>28.355387523629489</v>
      </c>
      <c r="I84" s="116" t="s">
        <v>15</v>
      </c>
      <c r="J84" s="70" t="s">
        <v>31</v>
      </c>
      <c r="K84" s="70" t="s">
        <v>33</v>
      </c>
      <c r="L84" s="70" t="s">
        <v>17</v>
      </c>
      <c r="M84" s="70" t="s">
        <v>0</v>
      </c>
      <c r="N84" s="114"/>
      <c r="O84" s="4" t="s">
        <v>6</v>
      </c>
      <c r="P84" s="4" t="s">
        <v>34</v>
      </c>
      <c r="Q84" s="6" t="s">
        <v>2</v>
      </c>
      <c r="R84" s="6" t="s">
        <v>1</v>
      </c>
      <c r="S84" s="17" t="s">
        <v>25</v>
      </c>
      <c r="T84" s="17" t="s">
        <v>26</v>
      </c>
      <c r="U84" s="7" t="s">
        <v>21</v>
      </c>
      <c r="V84" s="7" t="s">
        <v>22</v>
      </c>
      <c r="W84" s="31" t="s">
        <v>24</v>
      </c>
      <c r="X84" s="84"/>
      <c r="Y84" s="82"/>
      <c r="Z84" s="125" t="s">
        <v>39</v>
      </c>
      <c r="AA84" t="s">
        <v>43</v>
      </c>
    </row>
    <row r="85" spans="1:27" x14ac:dyDescent="0.2">
      <c r="A85" s="98"/>
      <c r="B85" s="99"/>
      <c r="C85" s="99"/>
      <c r="D85" s="99"/>
      <c r="E85" s="99"/>
      <c r="F85" s="99"/>
      <c r="G85" s="99"/>
      <c r="H85" s="100"/>
      <c r="I85" s="75"/>
      <c r="J85" s="68"/>
      <c r="K85" s="68"/>
      <c r="L85" s="68"/>
      <c r="M85" s="68"/>
      <c r="N85" s="114"/>
      <c r="O85" s="34">
        <v>33</v>
      </c>
      <c r="P85" s="34">
        <v>69</v>
      </c>
      <c r="Q85" s="2">
        <v>15</v>
      </c>
      <c r="R85" s="2">
        <f>T85-Q85</f>
        <v>7</v>
      </c>
      <c r="S85" s="2">
        <v>27</v>
      </c>
      <c r="T85" s="2">
        <v>22</v>
      </c>
      <c r="U85" s="43">
        <f t="shared" ref="U85" si="72">0.098*J88*M88*0.5*R85</f>
        <v>2.9174372639999997</v>
      </c>
      <c r="V85" s="43">
        <f t="shared" ref="V85" si="73">0.098*J88*M88*Q85</f>
        <v>12.50330256</v>
      </c>
      <c r="W85" s="10">
        <f t="shared" ref="W85" si="74">0.098*J88*M88*(S85-T85)</f>
        <v>4.1677675199999999</v>
      </c>
      <c r="X85" s="84"/>
      <c r="Y85" s="82"/>
      <c r="Z85" s="125"/>
    </row>
    <row r="86" spans="1:27" x14ac:dyDescent="0.2">
      <c r="A86" s="101"/>
      <c r="B86" s="102"/>
      <c r="C86" s="102"/>
      <c r="D86" s="102"/>
      <c r="E86" s="102"/>
      <c r="F86" s="102"/>
      <c r="G86" s="102"/>
      <c r="H86" s="103"/>
      <c r="I86" s="75"/>
      <c r="J86" s="68"/>
      <c r="K86" s="68"/>
      <c r="L86" s="68"/>
      <c r="M86" s="68"/>
      <c r="N86" s="114"/>
      <c r="O86" s="34">
        <v>33</v>
      </c>
      <c r="P86" s="34">
        <v>69</v>
      </c>
      <c r="Q86" s="2">
        <f t="shared" ref="Q86:Q90" si="75">Q85-2</f>
        <v>13</v>
      </c>
      <c r="R86" s="2">
        <f t="shared" ref="R86:R90" si="76">T86-Q86</f>
        <v>7</v>
      </c>
      <c r="S86" s="2">
        <v>24</v>
      </c>
      <c r="T86" s="2">
        <v>20</v>
      </c>
      <c r="U86" s="43">
        <f t="shared" ref="U86" si="77">0.098*J88*M88*0.5*R86</f>
        <v>2.9174372639999997</v>
      </c>
      <c r="V86" s="43">
        <f t="shared" ref="V86" si="78">0.098*J88*M88*Q86</f>
        <v>10.836195552</v>
      </c>
      <c r="W86" s="10">
        <f t="shared" ref="W86" si="79">0.098*J88*M88*(S86-T86)</f>
        <v>3.3342140159999998</v>
      </c>
      <c r="X86" s="84"/>
      <c r="Y86" s="82"/>
      <c r="Z86" s="125"/>
    </row>
    <row r="87" spans="1:27" x14ac:dyDescent="0.2">
      <c r="A87" s="101"/>
      <c r="B87" s="102"/>
      <c r="C87" s="102"/>
      <c r="D87" s="102"/>
      <c r="E87" s="102"/>
      <c r="F87" s="102"/>
      <c r="G87" s="102"/>
      <c r="H87" s="103"/>
      <c r="I87" s="75"/>
      <c r="J87" s="69"/>
      <c r="K87" s="69"/>
      <c r="L87" s="69"/>
      <c r="M87" s="69"/>
      <c r="N87" s="114"/>
      <c r="O87" s="34">
        <v>34</v>
      </c>
      <c r="P87" s="34">
        <v>69</v>
      </c>
      <c r="Q87" s="2">
        <f t="shared" si="75"/>
        <v>11</v>
      </c>
      <c r="R87" s="2">
        <f t="shared" si="76"/>
        <v>7</v>
      </c>
      <c r="S87" s="2">
        <v>22</v>
      </c>
      <c r="T87" s="2">
        <v>18</v>
      </c>
      <c r="U87" s="43">
        <f t="shared" ref="U87" si="80">0.098*J88*M88*0.5*R87</f>
        <v>2.9174372639999997</v>
      </c>
      <c r="V87" s="43">
        <f t="shared" ref="V87" si="81">0.098*J88*M88*Q87</f>
        <v>9.1690885439999992</v>
      </c>
      <c r="W87" s="10">
        <f t="shared" ref="W87" si="82">0.098*J88*M88*(S87-T87)</f>
        <v>3.3342140159999998</v>
      </c>
      <c r="X87" s="84"/>
      <c r="Y87" s="82"/>
      <c r="Z87" s="125"/>
    </row>
    <row r="88" spans="1:27" x14ac:dyDescent="0.2">
      <c r="A88" s="101"/>
      <c r="B88" s="102"/>
      <c r="C88" s="102"/>
      <c r="D88" s="102"/>
      <c r="E88" s="102"/>
      <c r="F88" s="102"/>
      <c r="G88" s="102"/>
      <c r="H88" s="103"/>
      <c r="I88" s="75"/>
      <c r="J88" s="86">
        <f t="shared" ref="J88" si="83">(9*F84)/1000</f>
        <v>0.70880399999999999</v>
      </c>
      <c r="K88" s="89">
        <v>32</v>
      </c>
      <c r="L88" s="92">
        <v>9</v>
      </c>
      <c r="M88" s="92">
        <v>12</v>
      </c>
      <c r="N88" s="114"/>
      <c r="O88" s="34">
        <v>33</v>
      </c>
      <c r="P88" s="34">
        <v>62</v>
      </c>
      <c r="Q88" s="2">
        <f t="shared" si="75"/>
        <v>9</v>
      </c>
      <c r="R88" s="2">
        <f t="shared" si="76"/>
        <v>7</v>
      </c>
      <c r="S88" s="2">
        <v>20</v>
      </c>
      <c r="T88" s="2">
        <v>16</v>
      </c>
      <c r="U88" s="43">
        <f t="shared" ref="U88" si="84">0.098*J88*M88*0.5*R88</f>
        <v>2.9174372639999997</v>
      </c>
      <c r="V88" s="43">
        <f t="shared" ref="V88" si="85">0.098*J88*M88*Q88</f>
        <v>7.5019815359999997</v>
      </c>
      <c r="W88" s="10">
        <f t="shared" ref="W88" si="86">0.098*J88*M88*(S88-T88)</f>
        <v>3.3342140159999998</v>
      </c>
      <c r="X88" s="84"/>
      <c r="Y88" s="82"/>
      <c r="Z88" s="101">
        <f t="shared" ref="Z88" si="87">_xlfn.STDEV.S(R85:R90)</f>
        <v>0</v>
      </c>
    </row>
    <row r="89" spans="1:27" x14ac:dyDescent="0.2">
      <c r="A89" s="101"/>
      <c r="B89" s="102"/>
      <c r="C89" s="102"/>
      <c r="D89" s="102"/>
      <c r="E89" s="102"/>
      <c r="F89" s="102"/>
      <c r="G89" s="102"/>
      <c r="H89" s="103"/>
      <c r="I89" s="75"/>
      <c r="J89" s="87"/>
      <c r="K89" s="90"/>
      <c r="L89" s="93"/>
      <c r="M89" s="93"/>
      <c r="N89" s="114"/>
      <c r="O89" s="34">
        <v>33</v>
      </c>
      <c r="P89" s="34">
        <v>62</v>
      </c>
      <c r="Q89" s="2">
        <f t="shared" si="75"/>
        <v>7</v>
      </c>
      <c r="R89" s="2">
        <f t="shared" si="76"/>
        <v>7</v>
      </c>
      <c r="S89" s="2">
        <v>18</v>
      </c>
      <c r="T89" s="2">
        <v>14</v>
      </c>
      <c r="U89" s="43">
        <f t="shared" ref="U89" si="88">0.098*J88*M88*0.5*R89</f>
        <v>2.9174372639999997</v>
      </c>
      <c r="V89" s="43">
        <f t="shared" ref="V89" si="89">0.098*J88*M88*Q89</f>
        <v>5.8348745279999994</v>
      </c>
      <c r="W89" s="10">
        <f t="shared" ref="W89" si="90">0.098*J88*M88*(S89-T89)</f>
        <v>3.3342140159999998</v>
      </c>
      <c r="X89" s="84"/>
      <c r="Y89" s="82"/>
      <c r="Z89" s="101"/>
    </row>
    <row r="90" spans="1:27" ht="17" thickBot="1" x14ac:dyDescent="0.25">
      <c r="A90" s="104"/>
      <c r="B90" s="105"/>
      <c r="C90" s="105"/>
      <c r="D90" s="105"/>
      <c r="E90" s="105"/>
      <c r="F90" s="105"/>
      <c r="G90" s="105"/>
      <c r="H90" s="106"/>
      <c r="I90" s="117"/>
      <c r="J90" s="88"/>
      <c r="K90" s="91"/>
      <c r="L90" s="94"/>
      <c r="M90" s="94"/>
      <c r="N90" s="115"/>
      <c r="O90" s="35">
        <v>33</v>
      </c>
      <c r="P90" s="35">
        <v>62</v>
      </c>
      <c r="Q90" s="20">
        <f t="shared" si="75"/>
        <v>5</v>
      </c>
      <c r="R90" s="2">
        <f t="shared" si="76"/>
        <v>7</v>
      </c>
      <c r="S90" s="20">
        <v>16</v>
      </c>
      <c r="T90" s="20">
        <v>12</v>
      </c>
      <c r="U90" s="44">
        <f t="shared" ref="U90" si="91">0.098*J88*M88*0.5*R90</f>
        <v>2.9174372639999997</v>
      </c>
      <c r="V90" s="44">
        <f t="shared" ref="V90" si="92">0.098*J88*M88*Q90</f>
        <v>4.1677675199999999</v>
      </c>
      <c r="W90" s="21">
        <f t="shared" ref="W90" si="93">0.098*J88*M88*(S90-T90)</f>
        <v>3.3342140159999998</v>
      </c>
      <c r="X90" s="85"/>
      <c r="Y90" s="83"/>
      <c r="Z90" s="101"/>
    </row>
    <row r="91" spans="1:27" x14ac:dyDescent="0.2">
      <c r="A91" s="107" t="s">
        <v>8</v>
      </c>
      <c r="B91" s="110" t="s">
        <v>3</v>
      </c>
      <c r="C91" s="110" t="s">
        <v>7</v>
      </c>
      <c r="D91" s="110" t="s">
        <v>9</v>
      </c>
      <c r="E91" s="71" t="s">
        <v>11</v>
      </c>
      <c r="F91" s="71" t="s">
        <v>10</v>
      </c>
      <c r="G91" s="71" t="s">
        <v>12</v>
      </c>
      <c r="H91" s="71" t="s">
        <v>32</v>
      </c>
      <c r="I91" s="74" t="s">
        <v>14</v>
      </c>
      <c r="J91" s="67" t="s">
        <v>31</v>
      </c>
      <c r="K91" s="67" t="s">
        <v>33</v>
      </c>
      <c r="L91" s="67" t="s">
        <v>17</v>
      </c>
      <c r="M91" s="67" t="s">
        <v>0</v>
      </c>
      <c r="N91" s="113" t="s">
        <v>16</v>
      </c>
      <c r="O91" s="4" t="s">
        <v>6</v>
      </c>
      <c r="P91" s="4" t="s">
        <v>34</v>
      </c>
      <c r="Q91" s="17" t="s">
        <v>2</v>
      </c>
      <c r="R91" s="17" t="s">
        <v>1</v>
      </c>
      <c r="S91" s="17" t="s">
        <v>25</v>
      </c>
      <c r="T91" s="17" t="s">
        <v>26</v>
      </c>
      <c r="U91" s="45" t="s">
        <v>20</v>
      </c>
      <c r="V91" s="45" t="s">
        <v>22</v>
      </c>
      <c r="W91" s="47" t="s">
        <v>24</v>
      </c>
      <c r="X91" s="77" t="s">
        <v>19</v>
      </c>
      <c r="Y91" s="79" t="s">
        <v>23</v>
      </c>
      <c r="Z91" s="125" t="s">
        <v>39</v>
      </c>
    </row>
    <row r="92" spans="1:27" x14ac:dyDescent="0.2">
      <c r="A92" s="108"/>
      <c r="B92" s="111"/>
      <c r="C92" s="111"/>
      <c r="D92" s="111"/>
      <c r="E92" s="72"/>
      <c r="F92" s="72"/>
      <c r="G92" s="72"/>
      <c r="H92" s="72"/>
      <c r="I92" s="75"/>
      <c r="J92" s="68"/>
      <c r="K92" s="68"/>
      <c r="L92" s="68"/>
      <c r="M92" s="68"/>
      <c r="N92" s="114"/>
      <c r="O92" s="34">
        <v>49</v>
      </c>
      <c r="P92" s="34">
        <v>88</v>
      </c>
      <c r="Q92" s="2">
        <v>15</v>
      </c>
      <c r="R92" s="2">
        <f>T92-Q92</f>
        <v>9</v>
      </c>
      <c r="S92" s="2">
        <v>27</v>
      </c>
      <c r="T92" s="2">
        <v>24</v>
      </c>
      <c r="U92" s="32">
        <f t="shared" ref="U92" si="94">0.098*J95*M95*0.5*R92</f>
        <v>2.5384524480000001</v>
      </c>
      <c r="V92" s="32">
        <f t="shared" ref="V92" si="95">0.098*J95*M95*Q92</f>
        <v>8.4615081599999993</v>
      </c>
      <c r="W92" s="9">
        <f t="shared" ref="W92" si="96">0.098*J95*M95*(S92-T92)</f>
        <v>1.6923016319999999</v>
      </c>
      <c r="X92" s="78"/>
      <c r="Y92" s="80"/>
      <c r="Z92" s="125"/>
    </row>
    <row r="93" spans="1:27" x14ac:dyDescent="0.2">
      <c r="A93" s="108"/>
      <c r="B93" s="111"/>
      <c r="C93" s="111"/>
      <c r="D93" s="111"/>
      <c r="E93" s="72"/>
      <c r="F93" s="72"/>
      <c r="G93" s="72"/>
      <c r="H93" s="72"/>
      <c r="I93" s="75"/>
      <c r="J93" s="68"/>
      <c r="K93" s="68"/>
      <c r="L93" s="68"/>
      <c r="M93" s="68"/>
      <c r="N93" s="114"/>
      <c r="O93" s="34">
        <v>48</v>
      </c>
      <c r="P93" s="34">
        <v>96</v>
      </c>
      <c r="Q93" s="2">
        <f t="shared" ref="Q93:Q97" si="97">Q92-2</f>
        <v>13</v>
      </c>
      <c r="R93" s="2">
        <f t="shared" ref="R93:R146" si="98">T93-Q93</f>
        <v>10</v>
      </c>
      <c r="S93" s="2">
        <v>27</v>
      </c>
      <c r="T93" s="2">
        <v>23</v>
      </c>
      <c r="U93" s="32">
        <f t="shared" ref="U93" si="99">0.098*J95*M95*0.5*R93</f>
        <v>2.8205027199999999</v>
      </c>
      <c r="V93" s="32">
        <f t="shared" ref="V93" si="100">0.098*J95*M95*Q93</f>
        <v>7.3333070720000002</v>
      </c>
      <c r="W93" s="9">
        <f t="shared" ref="W93" si="101">0.098*J95*M95*(S93-T93)</f>
        <v>2.2564021759999999</v>
      </c>
      <c r="X93" s="23">
        <v>0.66666666666666663</v>
      </c>
      <c r="Y93" s="81" t="s">
        <v>35</v>
      </c>
      <c r="Z93" s="125"/>
    </row>
    <row r="94" spans="1:27" x14ac:dyDescent="0.2">
      <c r="A94" s="108"/>
      <c r="B94" s="111"/>
      <c r="C94" s="111"/>
      <c r="D94" s="111"/>
      <c r="E94" s="72"/>
      <c r="F94" s="72"/>
      <c r="G94" s="72"/>
      <c r="H94" s="72"/>
      <c r="I94" s="75"/>
      <c r="J94" s="69"/>
      <c r="K94" s="69"/>
      <c r="L94" s="69"/>
      <c r="M94" s="69"/>
      <c r="N94" s="114"/>
      <c r="O94" s="34">
        <v>49</v>
      </c>
      <c r="P94" s="34">
        <v>96</v>
      </c>
      <c r="Q94" s="2">
        <f t="shared" si="97"/>
        <v>11</v>
      </c>
      <c r="R94" s="2">
        <f t="shared" si="98"/>
        <v>10</v>
      </c>
      <c r="S94" s="2">
        <v>24</v>
      </c>
      <c r="T94" s="2">
        <v>21</v>
      </c>
      <c r="U94" s="32">
        <f t="shared" ref="U94" si="102">0.098*J95*M95*0.5*R94</f>
        <v>2.8205027199999999</v>
      </c>
      <c r="V94" s="32">
        <f t="shared" ref="V94" si="103">0.098*J95*M95*Q94</f>
        <v>6.2051059839999994</v>
      </c>
      <c r="W94" s="9">
        <f t="shared" ref="W94" si="104">0.098*J95*M95*(S94-T94)</f>
        <v>1.6923016319999999</v>
      </c>
      <c r="X94" s="84"/>
      <c r="Y94" s="82"/>
      <c r="Z94" s="125"/>
    </row>
    <row r="95" spans="1:27" x14ac:dyDescent="0.2">
      <c r="A95" s="108"/>
      <c r="B95" s="111"/>
      <c r="C95" s="111"/>
      <c r="D95" s="111"/>
      <c r="E95" s="72"/>
      <c r="F95" s="72"/>
      <c r="G95" s="72"/>
      <c r="H95" s="72"/>
      <c r="I95" s="75"/>
      <c r="J95" s="86">
        <f t="shared" ref="J95" si="105">(7*F98)/1000</f>
        <v>0.41115199999999996</v>
      </c>
      <c r="K95" s="89">
        <v>50</v>
      </c>
      <c r="L95" s="92">
        <v>10</v>
      </c>
      <c r="M95" s="92">
        <v>14</v>
      </c>
      <c r="N95" s="114"/>
      <c r="O95" s="34">
        <v>49</v>
      </c>
      <c r="P95" s="41">
        <v>96</v>
      </c>
      <c r="Q95" s="2">
        <f t="shared" si="97"/>
        <v>9</v>
      </c>
      <c r="R95" s="2">
        <f t="shared" si="98"/>
        <v>11</v>
      </c>
      <c r="S95" s="2">
        <v>23</v>
      </c>
      <c r="T95" s="2">
        <v>20</v>
      </c>
      <c r="U95" s="32">
        <f t="shared" ref="U95" si="106">0.098*J95*M95*0.5*R95</f>
        <v>3.1025529919999997</v>
      </c>
      <c r="V95" s="32">
        <f t="shared" ref="V95" si="107">0.098*J95*M95*Q95</f>
        <v>5.0769048960000003</v>
      </c>
      <c r="W95" s="9">
        <f t="shared" ref="W95" si="108">0.098*J95*M95*(S95-T95)</f>
        <v>1.6923016319999999</v>
      </c>
      <c r="X95" s="84"/>
      <c r="Y95" s="82"/>
      <c r="Z95" s="66">
        <f t="shared" ref="Z95" si="109">_xlfn.STDEV.S(R92:R97)</f>
        <v>0.75277265270908111</v>
      </c>
    </row>
    <row r="96" spans="1:27" x14ac:dyDescent="0.2">
      <c r="A96" s="108"/>
      <c r="B96" s="111"/>
      <c r="C96" s="111"/>
      <c r="D96" s="111"/>
      <c r="E96" s="72"/>
      <c r="F96" s="72"/>
      <c r="G96" s="72"/>
      <c r="H96" s="72"/>
      <c r="I96" s="75"/>
      <c r="J96" s="87"/>
      <c r="K96" s="90"/>
      <c r="L96" s="93"/>
      <c r="M96" s="93"/>
      <c r="N96" s="114"/>
      <c r="O96" s="34">
        <v>49</v>
      </c>
      <c r="P96" s="34">
        <v>93</v>
      </c>
      <c r="Q96" s="2">
        <f t="shared" si="97"/>
        <v>7</v>
      </c>
      <c r="R96" s="2">
        <f t="shared" si="98"/>
        <v>11</v>
      </c>
      <c r="S96" s="2">
        <v>22</v>
      </c>
      <c r="T96" s="2">
        <v>18</v>
      </c>
      <c r="U96" s="32">
        <f t="shared" ref="U96" si="110">0.098*J95*M95*0.5*R96</f>
        <v>3.1025529919999997</v>
      </c>
      <c r="V96" s="32">
        <f t="shared" ref="V96" si="111">0.098*J95*M95*Q96</f>
        <v>3.9487038079999999</v>
      </c>
      <c r="W96" s="9">
        <f t="shared" ref="W96" si="112">0.098*J95*M95*(S96-T96)</f>
        <v>2.2564021759999999</v>
      </c>
      <c r="X96" s="84"/>
      <c r="Y96" s="82"/>
      <c r="Z96" s="66"/>
    </row>
    <row r="97" spans="1:27" ht="17" thickBot="1" x14ac:dyDescent="0.25">
      <c r="A97" s="109"/>
      <c r="B97" s="112"/>
      <c r="C97" s="112"/>
      <c r="D97" s="112"/>
      <c r="E97" s="73"/>
      <c r="F97" s="73"/>
      <c r="G97" s="73"/>
      <c r="H97" s="73"/>
      <c r="I97" s="76"/>
      <c r="J97" s="97"/>
      <c r="K97" s="96"/>
      <c r="L97" s="95"/>
      <c r="M97" s="95"/>
      <c r="N97" s="114"/>
      <c r="O97" s="34">
        <v>48</v>
      </c>
      <c r="P97" s="34">
        <v>93</v>
      </c>
      <c r="Q97" s="2">
        <f t="shared" si="97"/>
        <v>5</v>
      </c>
      <c r="R97" s="2">
        <f t="shared" si="98"/>
        <v>10</v>
      </c>
      <c r="S97" s="2">
        <v>18</v>
      </c>
      <c r="T97" s="2">
        <v>15</v>
      </c>
      <c r="U97" s="32">
        <f t="shared" ref="U97" si="113">0.098*J95*M95*0.5*R97</f>
        <v>2.8205027199999999</v>
      </c>
      <c r="V97" s="32">
        <f t="shared" ref="V97" si="114">0.098*J95*M95*Q97</f>
        <v>2.8205027199999999</v>
      </c>
      <c r="W97" s="9">
        <f t="shared" ref="W97" si="115">0.098*J95*M95*(S97-T97)</f>
        <v>1.6923016319999999</v>
      </c>
      <c r="X97" s="84"/>
      <c r="Y97" s="82"/>
      <c r="Z97" s="66"/>
      <c r="AA97" t="s">
        <v>41</v>
      </c>
    </row>
    <row r="98" spans="1:27" x14ac:dyDescent="0.2">
      <c r="A98" s="19">
        <f>A84+1</f>
        <v>6</v>
      </c>
      <c r="B98" s="3" t="s">
        <v>5</v>
      </c>
      <c r="C98" s="3">
        <v>51</v>
      </c>
      <c r="D98" s="3">
        <v>162</v>
      </c>
      <c r="E98" s="3">
        <v>117</v>
      </c>
      <c r="F98" s="3">
        <f>IF(B98="M", 50 + 0.91*(D98-152.4), IF(B98="F", 45.5 + 0.91*(D98-152.4), ""))</f>
        <v>58.735999999999997</v>
      </c>
      <c r="G98" s="3">
        <v>70</v>
      </c>
      <c r="H98" s="3">
        <f t="shared" ref="H98" si="116">E98/(D98*10^-2)^2</f>
        <v>44.581618655692722</v>
      </c>
      <c r="I98" s="116" t="s">
        <v>15</v>
      </c>
      <c r="J98" s="70" t="s">
        <v>31</v>
      </c>
      <c r="K98" s="70" t="s">
        <v>33</v>
      </c>
      <c r="L98" s="70" t="s">
        <v>17</v>
      </c>
      <c r="M98" s="70" t="s">
        <v>0</v>
      </c>
      <c r="N98" s="114"/>
      <c r="O98" s="4" t="s">
        <v>6</v>
      </c>
      <c r="P98" s="4" t="s">
        <v>34</v>
      </c>
      <c r="Q98" s="6" t="s">
        <v>2</v>
      </c>
      <c r="R98" s="42" t="s">
        <v>1</v>
      </c>
      <c r="S98" s="17" t="s">
        <v>25</v>
      </c>
      <c r="T98" s="17" t="s">
        <v>26</v>
      </c>
      <c r="U98" s="46" t="s">
        <v>21</v>
      </c>
      <c r="V98" s="46" t="s">
        <v>22</v>
      </c>
      <c r="W98" s="31" t="s">
        <v>24</v>
      </c>
      <c r="X98" s="84"/>
      <c r="Y98" s="82"/>
      <c r="Z98" s="125" t="s">
        <v>39</v>
      </c>
      <c r="AA98" t="s">
        <v>42</v>
      </c>
    </row>
    <row r="99" spans="1:27" x14ac:dyDescent="0.2">
      <c r="A99" s="98"/>
      <c r="B99" s="99"/>
      <c r="C99" s="99"/>
      <c r="D99" s="99"/>
      <c r="E99" s="99"/>
      <c r="F99" s="99"/>
      <c r="G99" s="99"/>
      <c r="H99" s="100"/>
      <c r="I99" s="75"/>
      <c r="J99" s="68"/>
      <c r="K99" s="68"/>
      <c r="L99" s="68"/>
      <c r="M99" s="68"/>
      <c r="N99" s="114"/>
      <c r="O99" s="34">
        <v>48</v>
      </c>
      <c r="P99" s="34">
        <v>80</v>
      </c>
      <c r="Q99" s="2">
        <v>15</v>
      </c>
      <c r="R99" s="2">
        <f t="shared" si="98"/>
        <v>14</v>
      </c>
      <c r="S99" s="2">
        <v>31</v>
      </c>
      <c r="T99" s="2">
        <v>29</v>
      </c>
      <c r="U99" s="43">
        <f t="shared" ref="U99" si="117">0.098*J102*M102*0.5*R99</f>
        <v>5.0769048959999994</v>
      </c>
      <c r="V99" s="43">
        <f t="shared" ref="V99" si="118">0.098*J102*M102*Q99</f>
        <v>10.879081919999999</v>
      </c>
      <c r="W99" s="10">
        <f t="shared" ref="W99" si="119">0.098*J102*M102*(S99-T99)</f>
        <v>1.4505442559999999</v>
      </c>
      <c r="X99" s="84"/>
      <c r="Y99" s="82"/>
      <c r="Z99" s="125"/>
    </row>
    <row r="100" spans="1:27" x14ac:dyDescent="0.2">
      <c r="A100" s="101"/>
      <c r="B100" s="102"/>
      <c r="C100" s="102"/>
      <c r="D100" s="102"/>
      <c r="E100" s="102"/>
      <c r="F100" s="102"/>
      <c r="G100" s="102"/>
      <c r="H100" s="103"/>
      <c r="I100" s="75"/>
      <c r="J100" s="68"/>
      <c r="K100" s="68"/>
      <c r="L100" s="68"/>
      <c r="M100" s="68"/>
      <c r="N100" s="114"/>
      <c r="O100" s="34">
        <v>45</v>
      </c>
      <c r="P100" s="34">
        <v>75</v>
      </c>
      <c r="Q100" s="2">
        <f t="shared" ref="Q100:Q104" si="120">Q99-2</f>
        <v>13</v>
      </c>
      <c r="R100" s="2">
        <f t="shared" si="98"/>
        <v>9</v>
      </c>
      <c r="S100" s="2">
        <v>27</v>
      </c>
      <c r="T100" s="2">
        <v>22</v>
      </c>
      <c r="U100" s="43">
        <f t="shared" ref="U100" si="121">0.098*J102*M102*0.5*R100</f>
        <v>3.263724576</v>
      </c>
      <c r="V100" s="43">
        <f t="shared" ref="V100" si="122">0.098*J102*M102*Q100</f>
        <v>9.4285376640000003</v>
      </c>
      <c r="W100" s="10">
        <f t="shared" ref="W100" si="123">0.098*J102*M102*(S100-T100)</f>
        <v>3.6263606399999997</v>
      </c>
      <c r="X100" s="84"/>
      <c r="Y100" s="82"/>
      <c r="Z100" s="125"/>
    </row>
    <row r="101" spans="1:27" x14ac:dyDescent="0.2">
      <c r="A101" s="101"/>
      <c r="B101" s="102"/>
      <c r="C101" s="102"/>
      <c r="D101" s="102"/>
      <c r="E101" s="102"/>
      <c r="F101" s="102"/>
      <c r="G101" s="102"/>
      <c r="H101" s="103"/>
      <c r="I101" s="75"/>
      <c r="J101" s="69"/>
      <c r="K101" s="69"/>
      <c r="L101" s="69"/>
      <c r="M101" s="69"/>
      <c r="N101" s="114"/>
      <c r="O101" s="34">
        <v>44</v>
      </c>
      <c r="P101" s="34">
        <v>70</v>
      </c>
      <c r="Q101" s="2">
        <f t="shared" si="120"/>
        <v>11</v>
      </c>
      <c r="R101" s="2">
        <f t="shared" si="98"/>
        <v>11</v>
      </c>
      <c r="S101" s="2">
        <v>27</v>
      </c>
      <c r="T101" s="2">
        <v>22</v>
      </c>
      <c r="U101" s="43">
        <f t="shared" ref="U101" si="124">0.098*J102*M102*0.5*R101</f>
        <v>3.9889967039999998</v>
      </c>
      <c r="V101" s="43">
        <f t="shared" ref="V101" si="125">0.098*J102*M102*Q101</f>
        <v>7.9779934079999997</v>
      </c>
      <c r="W101" s="10">
        <f t="shared" ref="W101" si="126">0.098*J102*M102*(S101-T101)</f>
        <v>3.6263606399999997</v>
      </c>
      <c r="X101" s="84"/>
      <c r="Y101" s="82"/>
      <c r="Z101" s="125"/>
    </row>
    <row r="102" spans="1:27" x14ac:dyDescent="0.2">
      <c r="A102" s="101"/>
      <c r="B102" s="102"/>
      <c r="C102" s="102"/>
      <c r="D102" s="102"/>
      <c r="E102" s="102"/>
      <c r="F102" s="102"/>
      <c r="G102" s="102"/>
      <c r="H102" s="103"/>
      <c r="I102" s="75"/>
      <c r="J102" s="86">
        <f t="shared" ref="J102" si="127">(9*F98)/1000</f>
        <v>0.52862399999999998</v>
      </c>
      <c r="K102" s="89">
        <v>45</v>
      </c>
      <c r="L102" s="92">
        <v>12</v>
      </c>
      <c r="M102" s="92">
        <v>14</v>
      </c>
      <c r="N102" s="114"/>
      <c r="O102" s="34">
        <v>43</v>
      </c>
      <c r="P102" s="34">
        <v>70</v>
      </c>
      <c r="Q102" s="2">
        <f t="shared" si="120"/>
        <v>9</v>
      </c>
      <c r="R102" s="2">
        <f t="shared" si="98"/>
        <v>15</v>
      </c>
      <c r="S102" s="2">
        <v>26</v>
      </c>
      <c r="T102" s="2">
        <v>24</v>
      </c>
      <c r="U102" s="43">
        <f t="shared" ref="U102" si="128">0.098*J102*M102*0.5*R102</f>
        <v>5.4395409599999995</v>
      </c>
      <c r="V102" s="43">
        <f t="shared" ref="V102" si="129">0.098*J102*M102*Q102</f>
        <v>6.527449152</v>
      </c>
      <c r="W102" s="10">
        <f t="shared" ref="W102" si="130">0.098*J102*M102*(S102-T102)</f>
        <v>1.4505442559999999</v>
      </c>
      <c r="X102" s="84"/>
      <c r="Y102" s="82"/>
      <c r="Z102" s="101">
        <f t="shared" ref="Z102" si="131">_xlfn.STDEV.S(R99:R104)</f>
        <v>2.6076809620810595</v>
      </c>
    </row>
    <row r="103" spans="1:27" x14ac:dyDescent="0.2">
      <c r="A103" s="101"/>
      <c r="B103" s="102"/>
      <c r="C103" s="102"/>
      <c r="D103" s="102"/>
      <c r="E103" s="102"/>
      <c r="F103" s="102"/>
      <c r="G103" s="102"/>
      <c r="H103" s="103"/>
      <c r="I103" s="75"/>
      <c r="J103" s="87"/>
      <c r="K103" s="90"/>
      <c r="L103" s="93"/>
      <c r="M103" s="93"/>
      <c r="N103" s="114"/>
      <c r="O103" s="34">
        <v>41</v>
      </c>
      <c r="P103" s="34">
        <v>70</v>
      </c>
      <c r="Q103" s="2">
        <f t="shared" si="120"/>
        <v>7</v>
      </c>
      <c r="R103" s="2">
        <f t="shared" si="98"/>
        <v>13</v>
      </c>
      <c r="S103" s="2">
        <v>26</v>
      </c>
      <c r="T103" s="2">
        <v>20</v>
      </c>
      <c r="U103" s="43">
        <f t="shared" ref="U103" si="132">0.098*J102*M102*0.5*R103</f>
        <v>4.7142688320000001</v>
      </c>
      <c r="V103" s="10">
        <f t="shared" ref="V103" si="133">0.098*J102*M102*Q103</f>
        <v>5.0769048959999994</v>
      </c>
      <c r="W103" s="10">
        <f t="shared" ref="W103" si="134">0.098*J102*M102*(S103-T103)</f>
        <v>4.351632768</v>
      </c>
      <c r="X103" s="84"/>
      <c r="Y103" s="82"/>
      <c r="Z103" s="101"/>
    </row>
    <row r="104" spans="1:27" ht="17" thickBot="1" x14ac:dyDescent="0.25">
      <c r="A104" s="104"/>
      <c r="B104" s="105"/>
      <c r="C104" s="105"/>
      <c r="D104" s="105"/>
      <c r="E104" s="105"/>
      <c r="F104" s="105"/>
      <c r="G104" s="105"/>
      <c r="H104" s="106"/>
      <c r="I104" s="117"/>
      <c r="J104" s="88"/>
      <c r="K104" s="91"/>
      <c r="L104" s="94"/>
      <c r="M104" s="94"/>
      <c r="N104" s="115"/>
      <c r="O104" s="35">
        <v>67</v>
      </c>
      <c r="P104" s="35">
        <v>74</v>
      </c>
      <c r="Q104" s="20">
        <f t="shared" si="120"/>
        <v>5</v>
      </c>
      <c r="R104" s="2">
        <f t="shared" si="98"/>
        <v>16</v>
      </c>
      <c r="S104" s="20">
        <v>26</v>
      </c>
      <c r="T104" s="20">
        <v>21</v>
      </c>
      <c r="U104" s="44">
        <f t="shared" ref="U104" si="135">0.098*J102*M102*0.5*R104</f>
        <v>5.8021770239999997</v>
      </c>
      <c r="V104" s="21">
        <f t="shared" ref="V104" si="136">0.098*J102*M102*Q104</f>
        <v>3.6263606399999997</v>
      </c>
      <c r="W104" s="21">
        <f t="shared" ref="W104" si="137">0.098*J102*M102*(S104-T104)</f>
        <v>3.6263606399999997</v>
      </c>
      <c r="X104" s="85"/>
      <c r="Y104" s="83"/>
      <c r="Z104" s="101"/>
    </row>
    <row r="105" spans="1:27" x14ac:dyDescent="0.2">
      <c r="A105" s="107" t="s">
        <v>8</v>
      </c>
      <c r="B105" s="110" t="s">
        <v>3</v>
      </c>
      <c r="C105" s="110" t="s">
        <v>7</v>
      </c>
      <c r="D105" s="110" t="s">
        <v>9</v>
      </c>
      <c r="E105" s="71" t="s">
        <v>11</v>
      </c>
      <c r="F105" s="71" t="s">
        <v>10</v>
      </c>
      <c r="G105" s="71" t="s">
        <v>12</v>
      </c>
      <c r="H105" s="71" t="s">
        <v>32</v>
      </c>
      <c r="I105" s="74" t="s">
        <v>14</v>
      </c>
      <c r="J105" s="67" t="s">
        <v>31</v>
      </c>
      <c r="K105" s="67" t="s">
        <v>33</v>
      </c>
      <c r="L105" s="67" t="s">
        <v>17</v>
      </c>
      <c r="M105" s="67" t="s">
        <v>0</v>
      </c>
      <c r="N105" s="113" t="s">
        <v>16</v>
      </c>
      <c r="O105" s="4" t="s">
        <v>6</v>
      </c>
      <c r="P105" s="4" t="s">
        <v>34</v>
      </c>
      <c r="Q105" s="17" t="s">
        <v>2</v>
      </c>
      <c r="R105" s="42" t="s">
        <v>1</v>
      </c>
      <c r="S105" s="17" t="s">
        <v>25</v>
      </c>
      <c r="T105" s="17" t="s">
        <v>26</v>
      </c>
      <c r="U105" s="18" t="s">
        <v>20</v>
      </c>
      <c r="V105" s="18" t="s">
        <v>22</v>
      </c>
      <c r="W105" s="47" t="s">
        <v>24</v>
      </c>
      <c r="X105" s="77" t="s">
        <v>19</v>
      </c>
      <c r="Y105" s="79" t="s">
        <v>23</v>
      </c>
      <c r="Z105" s="125" t="s">
        <v>39</v>
      </c>
    </row>
    <row r="106" spans="1:27" x14ac:dyDescent="0.2">
      <c r="A106" s="108"/>
      <c r="B106" s="111"/>
      <c r="C106" s="111"/>
      <c r="D106" s="111"/>
      <c r="E106" s="72"/>
      <c r="F106" s="72"/>
      <c r="G106" s="72"/>
      <c r="H106" s="72"/>
      <c r="I106" s="75"/>
      <c r="J106" s="68"/>
      <c r="K106" s="68"/>
      <c r="L106" s="68"/>
      <c r="M106" s="68"/>
      <c r="N106" s="114"/>
      <c r="O106" s="34">
        <v>30</v>
      </c>
      <c r="P106" s="34">
        <v>99</v>
      </c>
      <c r="Q106" s="2">
        <v>15</v>
      </c>
      <c r="R106" s="2">
        <f t="shared" si="98"/>
        <v>6</v>
      </c>
      <c r="S106" s="2">
        <v>24</v>
      </c>
      <c r="T106" s="2">
        <v>21</v>
      </c>
      <c r="U106" s="9">
        <f t="shared" ref="U106" si="138">0.098*J109*M109*0.5*R106</f>
        <v>2.1247450559999996</v>
      </c>
      <c r="V106" s="9">
        <f t="shared" ref="V106" si="139">0.098*J109*M109*Q106</f>
        <v>10.623725279999999</v>
      </c>
      <c r="W106" s="9">
        <f t="shared" ref="W106" si="140">0.098*J109*M109*(S106-T106)</f>
        <v>2.1247450559999996</v>
      </c>
      <c r="X106" s="78"/>
      <c r="Y106" s="80"/>
      <c r="Z106" s="125"/>
    </row>
    <row r="107" spans="1:27" x14ac:dyDescent="0.2">
      <c r="A107" s="108"/>
      <c r="B107" s="111"/>
      <c r="C107" s="111"/>
      <c r="D107" s="111"/>
      <c r="E107" s="72"/>
      <c r="F107" s="72"/>
      <c r="G107" s="72"/>
      <c r="H107" s="72"/>
      <c r="I107" s="75"/>
      <c r="J107" s="68"/>
      <c r="K107" s="68"/>
      <c r="L107" s="68"/>
      <c r="M107" s="68"/>
      <c r="N107" s="114"/>
      <c r="O107" s="34">
        <v>33</v>
      </c>
      <c r="P107" s="34">
        <v>76</v>
      </c>
      <c r="Q107" s="2">
        <f t="shared" ref="Q107:Q111" si="141">Q106-2</f>
        <v>13</v>
      </c>
      <c r="R107" s="2">
        <f t="shared" si="98"/>
        <v>6</v>
      </c>
      <c r="S107" s="2">
        <v>23</v>
      </c>
      <c r="T107" s="2">
        <v>19</v>
      </c>
      <c r="U107" s="9">
        <f t="shared" ref="U107" si="142">0.098*J109*M109*0.5*R107</f>
        <v>2.1247450559999996</v>
      </c>
      <c r="V107" s="9">
        <f t="shared" ref="V107" si="143">0.098*J109*M109*Q107</f>
        <v>9.2072285759999986</v>
      </c>
      <c r="W107" s="9">
        <f t="shared" ref="W107" si="144">0.098*J109*M109*(S107-T107)</f>
        <v>2.8329934079999997</v>
      </c>
      <c r="X107" s="23">
        <v>0.66666666666666663</v>
      </c>
      <c r="Y107" s="81" t="s">
        <v>35</v>
      </c>
      <c r="Z107" s="125"/>
    </row>
    <row r="108" spans="1:27" x14ac:dyDescent="0.2">
      <c r="A108" s="108"/>
      <c r="B108" s="111"/>
      <c r="C108" s="111"/>
      <c r="D108" s="111"/>
      <c r="E108" s="72"/>
      <c r="F108" s="72"/>
      <c r="G108" s="72"/>
      <c r="H108" s="72"/>
      <c r="I108" s="75"/>
      <c r="J108" s="69"/>
      <c r="K108" s="69"/>
      <c r="L108" s="69"/>
      <c r="M108" s="69"/>
      <c r="N108" s="114"/>
      <c r="O108" s="34">
        <v>33</v>
      </c>
      <c r="P108" s="34">
        <v>87</v>
      </c>
      <c r="Q108" s="2">
        <f t="shared" si="141"/>
        <v>11</v>
      </c>
      <c r="R108" s="2">
        <f t="shared" si="98"/>
        <v>6</v>
      </c>
      <c r="S108" s="2">
        <v>21</v>
      </c>
      <c r="T108" s="2">
        <v>17</v>
      </c>
      <c r="U108" s="9">
        <f t="shared" ref="U108" si="145">0.098*J109*M109*0.5*R108</f>
        <v>2.1247450559999996</v>
      </c>
      <c r="V108" s="9">
        <f t="shared" ref="V108" si="146">0.098*J109*M109*Q108</f>
        <v>7.7907318719999994</v>
      </c>
      <c r="W108" s="9">
        <f t="shared" ref="W108" si="147">0.098*J109*M109*(S108-T108)</f>
        <v>2.8329934079999997</v>
      </c>
      <c r="X108" s="84"/>
      <c r="Y108" s="82"/>
      <c r="Z108" s="125"/>
    </row>
    <row r="109" spans="1:27" x14ac:dyDescent="0.2">
      <c r="A109" s="108"/>
      <c r="B109" s="111"/>
      <c r="C109" s="111"/>
      <c r="D109" s="111"/>
      <c r="E109" s="72"/>
      <c r="F109" s="72"/>
      <c r="G109" s="72"/>
      <c r="H109" s="72"/>
      <c r="I109" s="75"/>
      <c r="J109" s="86">
        <f t="shared" ref="J109" si="148">(7*F112)/1000</f>
        <v>0.6022519999999999</v>
      </c>
      <c r="K109" s="89">
        <v>29</v>
      </c>
      <c r="L109" s="92">
        <v>7</v>
      </c>
      <c r="M109" s="92">
        <v>12</v>
      </c>
      <c r="N109" s="114"/>
      <c r="O109" s="34">
        <v>34</v>
      </c>
      <c r="P109" s="41">
        <v>117</v>
      </c>
      <c r="Q109" s="2">
        <f t="shared" si="141"/>
        <v>9</v>
      </c>
      <c r="R109" s="2">
        <f t="shared" si="98"/>
        <v>8</v>
      </c>
      <c r="S109" s="2">
        <v>22</v>
      </c>
      <c r="T109" s="2">
        <v>17</v>
      </c>
      <c r="U109" s="9">
        <f t="shared" ref="U109" si="149">0.098*J109*M109*0.5*R109</f>
        <v>2.8329934079999997</v>
      </c>
      <c r="V109" s="9">
        <f t="shared" ref="V109" si="150">0.098*J109*M109*Q109</f>
        <v>6.3742351679999993</v>
      </c>
      <c r="W109" s="9">
        <f t="shared" ref="W109" si="151">0.098*J109*M109*(S109-T109)</f>
        <v>3.5412417599999997</v>
      </c>
      <c r="X109" s="84"/>
      <c r="Y109" s="82"/>
      <c r="Z109" s="66">
        <f t="shared" ref="Z109" si="152">_xlfn.STDEV.S(R106:R111)</f>
        <v>1.3291601358251244</v>
      </c>
    </row>
    <row r="110" spans="1:27" x14ac:dyDescent="0.2">
      <c r="A110" s="108"/>
      <c r="B110" s="111"/>
      <c r="C110" s="111"/>
      <c r="D110" s="111"/>
      <c r="E110" s="72"/>
      <c r="F110" s="72"/>
      <c r="G110" s="72"/>
      <c r="H110" s="72"/>
      <c r="I110" s="75"/>
      <c r="J110" s="87"/>
      <c r="K110" s="90"/>
      <c r="L110" s="93"/>
      <c r="M110" s="93"/>
      <c r="N110" s="114"/>
      <c r="O110" s="34">
        <v>35</v>
      </c>
      <c r="P110" s="34">
        <v>117</v>
      </c>
      <c r="Q110" s="2">
        <f t="shared" si="141"/>
        <v>7</v>
      </c>
      <c r="R110" s="2">
        <f t="shared" si="98"/>
        <v>8</v>
      </c>
      <c r="S110" s="2">
        <v>18</v>
      </c>
      <c r="T110" s="2">
        <v>15</v>
      </c>
      <c r="U110" s="9">
        <f t="shared" ref="U110" si="153">0.098*J109*M109*0.5*R110</f>
        <v>2.8329934079999997</v>
      </c>
      <c r="V110" s="9">
        <f t="shared" ref="V110" si="154">0.098*J109*M109*Q110</f>
        <v>4.9577384639999993</v>
      </c>
      <c r="W110" s="9">
        <f t="shared" ref="W110" si="155">0.098*J109*M109*(S110-T110)</f>
        <v>2.1247450559999996</v>
      </c>
      <c r="X110" s="84"/>
      <c r="Y110" s="82"/>
      <c r="Z110" s="66"/>
    </row>
    <row r="111" spans="1:27" ht="17" thickBot="1" x14ac:dyDescent="0.25">
      <c r="A111" s="109"/>
      <c r="B111" s="112"/>
      <c r="C111" s="112"/>
      <c r="D111" s="112"/>
      <c r="E111" s="73"/>
      <c r="F111" s="73"/>
      <c r="G111" s="73"/>
      <c r="H111" s="73"/>
      <c r="I111" s="76"/>
      <c r="J111" s="97"/>
      <c r="K111" s="96"/>
      <c r="L111" s="95"/>
      <c r="M111" s="95"/>
      <c r="N111" s="114"/>
      <c r="O111" s="34">
        <v>36</v>
      </c>
      <c r="P111" s="34">
        <v>117</v>
      </c>
      <c r="Q111" s="2">
        <f t="shared" si="141"/>
        <v>5</v>
      </c>
      <c r="R111" s="2">
        <f t="shared" si="98"/>
        <v>9</v>
      </c>
      <c r="S111" s="2">
        <v>19</v>
      </c>
      <c r="T111" s="2">
        <v>14</v>
      </c>
      <c r="U111" s="9">
        <f t="shared" ref="U111" si="156">0.098*J109*M109*0.5*R111</f>
        <v>3.1871175839999997</v>
      </c>
      <c r="V111" s="9">
        <f t="shared" ref="V111" si="157">0.098*J109*M109*Q111</f>
        <v>3.5412417599999997</v>
      </c>
      <c r="W111" s="9">
        <f t="shared" ref="W111" si="158">0.098*J109*M109*(S111-T111)</f>
        <v>3.5412417599999997</v>
      </c>
      <c r="X111" s="84"/>
      <c r="Y111" s="82"/>
      <c r="Z111" s="66"/>
      <c r="AA111" t="s">
        <v>41</v>
      </c>
    </row>
    <row r="112" spans="1:27" x14ac:dyDescent="0.2">
      <c r="A112" s="19">
        <f>A98+1</f>
        <v>7</v>
      </c>
      <c r="B112" s="3" t="s">
        <v>5</v>
      </c>
      <c r="C112" s="3">
        <v>67</v>
      </c>
      <c r="D112" s="3">
        <v>192</v>
      </c>
      <c r="E112" s="3">
        <v>138</v>
      </c>
      <c r="F112" s="3">
        <f>IF(B112="M", 50 + 0.91*(D112-152.4), IF(B112="F", 45.5 + 0.91*(D112-152.4), ""))</f>
        <v>86.036000000000001</v>
      </c>
      <c r="G112" s="3">
        <v>99</v>
      </c>
      <c r="H112" s="3">
        <f t="shared" ref="H112" si="159">E112/(D112*10^-2)^2</f>
        <v>37.434895833333336</v>
      </c>
      <c r="I112" s="116" t="s">
        <v>15</v>
      </c>
      <c r="J112" s="70" t="s">
        <v>31</v>
      </c>
      <c r="K112" s="70" t="s">
        <v>33</v>
      </c>
      <c r="L112" s="70" t="s">
        <v>17</v>
      </c>
      <c r="M112" s="70" t="s">
        <v>0</v>
      </c>
      <c r="N112" s="114"/>
      <c r="O112" s="4" t="s">
        <v>6</v>
      </c>
      <c r="P112" s="4" t="s">
        <v>34</v>
      </c>
      <c r="Q112" s="6" t="s">
        <v>2</v>
      </c>
      <c r="R112" s="42" t="s">
        <v>1</v>
      </c>
      <c r="S112" s="17" t="s">
        <v>25</v>
      </c>
      <c r="T112" s="17" t="s">
        <v>26</v>
      </c>
      <c r="U112" s="7" t="s">
        <v>21</v>
      </c>
      <c r="V112" s="7" t="s">
        <v>22</v>
      </c>
      <c r="W112" s="31" t="s">
        <v>24</v>
      </c>
      <c r="X112" s="84"/>
      <c r="Y112" s="82"/>
      <c r="Z112" s="125" t="s">
        <v>39</v>
      </c>
      <c r="AA112" t="s">
        <v>42</v>
      </c>
    </row>
    <row r="113" spans="1:27" x14ac:dyDescent="0.2">
      <c r="A113" s="98"/>
      <c r="B113" s="99"/>
      <c r="C113" s="99"/>
      <c r="D113" s="99"/>
      <c r="E113" s="99"/>
      <c r="F113" s="99"/>
      <c r="G113" s="99"/>
      <c r="H113" s="100"/>
      <c r="I113" s="75"/>
      <c r="J113" s="68"/>
      <c r="K113" s="68"/>
      <c r="L113" s="68"/>
      <c r="M113" s="68"/>
      <c r="N113" s="114"/>
      <c r="O113" s="34">
        <v>32</v>
      </c>
      <c r="P113" s="34">
        <v>104</v>
      </c>
      <c r="Q113" s="2">
        <v>15</v>
      </c>
      <c r="R113" s="2">
        <f t="shared" si="98"/>
        <v>9</v>
      </c>
      <c r="S113" s="2">
        <v>29</v>
      </c>
      <c r="T113" s="2">
        <v>24</v>
      </c>
      <c r="U113" s="10">
        <f t="shared" ref="U113" si="160">0.098*J116*M116*0.5*R113</f>
        <v>4.0977226080000007</v>
      </c>
      <c r="V113" s="10">
        <f t="shared" ref="V113" si="161">0.098*J116*M116*Q113</f>
        <v>13.659075360000001</v>
      </c>
      <c r="W113" s="10">
        <f t="shared" ref="W113" si="162">0.098*J116*M116*(S113-T113)</f>
        <v>4.5530251200000009</v>
      </c>
      <c r="X113" s="84"/>
      <c r="Y113" s="82"/>
      <c r="Z113" s="125"/>
    </row>
    <row r="114" spans="1:27" x14ac:dyDescent="0.2">
      <c r="A114" s="101"/>
      <c r="B114" s="102"/>
      <c r="C114" s="102"/>
      <c r="D114" s="102"/>
      <c r="E114" s="102"/>
      <c r="F114" s="102"/>
      <c r="G114" s="102"/>
      <c r="H114" s="103"/>
      <c r="I114" s="75"/>
      <c r="J114" s="68"/>
      <c r="K114" s="68"/>
      <c r="L114" s="68"/>
      <c r="M114" s="68"/>
      <c r="N114" s="114"/>
      <c r="O114" s="34">
        <v>31</v>
      </c>
      <c r="P114" s="34">
        <v>91</v>
      </c>
      <c r="Q114" s="2">
        <f t="shared" ref="Q114:Q118" si="163">Q113-2</f>
        <v>13</v>
      </c>
      <c r="R114" s="2">
        <f t="shared" si="98"/>
        <v>8</v>
      </c>
      <c r="S114" s="2">
        <v>26</v>
      </c>
      <c r="T114" s="2">
        <v>21</v>
      </c>
      <c r="U114" s="10">
        <f t="shared" ref="U114" si="164">0.098*J116*M116*0.5*R114</f>
        <v>3.6424200960000004</v>
      </c>
      <c r="V114" s="10">
        <f t="shared" ref="V114" si="165">0.098*J116*M116*Q114</f>
        <v>11.837865312000002</v>
      </c>
      <c r="W114" s="10">
        <f t="shared" ref="W114" si="166">0.098*J116*M116*(S114-T114)</f>
        <v>4.5530251200000009</v>
      </c>
      <c r="X114" s="84"/>
      <c r="Y114" s="82"/>
      <c r="Z114" s="125"/>
    </row>
    <row r="115" spans="1:27" x14ac:dyDescent="0.2">
      <c r="A115" s="101"/>
      <c r="B115" s="102"/>
      <c r="C115" s="102"/>
      <c r="D115" s="102"/>
      <c r="E115" s="102"/>
      <c r="F115" s="102"/>
      <c r="G115" s="102"/>
      <c r="H115" s="103"/>
      <c r="I115" s="75"/>
      <c r="J115" s="69"/>
      <c r="K115" s="69"/>
      <c r="L115" s="69"/>
      <c r="M115" s="69"/>
      <c r="N115" s="114"/>
      <c r="O115" s="34">
        <v>32</v>
      </c>
      <c r="P115" s="34">
        <v>91</v>
      </c>
      <c r="Q115" s="2">
        <f t="shared" si="163"/>
        <v>11</v>
      </c>
      <c r="R115" s="2">
        <f t="shared" si="98"/>
        <v>8</v>
      </c>
      <c r="S115" s="2">
        <v>24</v>
      </c>
      <c r="T115" s="2">
        <v>19</v>
      </c>
      <c r="U115" s="10">
        <f t="shared" ref="U115" si="167">0.098*J116*M116*0.5*R115</f>
        <v>3.6424200960000004</v>
      </c>
      <c r="V115" s="10">
        <f t="shared" ref="V115" si="168">0.098*J116*M116*Q115</f>
        <v>10.016655264000001</v>
      </c>
      <c r="W115" s="10">
        <f t="shared" ref="W115" si="169">0.098*J116*M116*(S115-T115)</f>
        <v>4.5530251200000009</v>
      </c>
      <c r="X115" s="84"/>
      <c r="Y115" s="82"/>
      <c r="Z115" s="125"/>
    </row>
    <row r="116" spans="1:27" x14ac:dyDescent="0.2">
      <c r="A116" s="101"/>
      <c r="B116" s="102"/>
      <c r="C116" s="102"/>
      <c r="D116" s="102"/>
      <c r="E116" s="102"/>
      <c r="F116" s="102"/>
      <c r="G116" s="102"/>
      <c r="H116" s="103"/>
      <c r="I116" s="75"/>
      <c r="J116" s="86">
        <f t="shared" ref="J116" si="170">(9*F112)/1000</f>
        <v>0.77432400000000012</v>
      </c>
      <c r="K116" s="89">
        <v>34</v>
      </c>
      <c r="L116" s="92">
        <v>9</v>
      </c>
      <c r="M116" s="92">
        <v>12</v>
      </c>
      <c r="N116" s="114"/>
      <c r="O116" s="34">
        <v>32</v>
      </c>
      <c r="P116" s="34">
        <v>70</v>
      </c>
      <c r="Q116" s="2">
        <f t="shared" si="163"/>
        <v>9</v>
      </c>
      <c r="R116" s="2">
        <f t="shared" si="98"/>
        <v>8</v>
      </c>
      <c r="S116" s="2">
        <v>22</v>
      </c>
      <c r="T116" s="2">
        <v>17</v>
      </c>
      <c r="U116" s="10">
        <f t="shared" ref="U116" si="171">0.098*J116*M116*0.5*R116</f>
        <v>3.6424200960000004</v>
      </c>
      <c r="V116" s="10">
        <f t="shared" ref="V116" si="172">0.098*J116*M116*Q116</f>
        <v>8.1954452160000013</v>
      </c>
      <c r="W116" s="10">
        <f t="shared" ref="W116" si="173">0.098*J116*M116*(S116-T116)</f>
        <v>4.5530251200000009</v>
      </c>
      <c r="X116" s="84"/>
      <c r="Y116" s="82"/>
      <c r="Z116" s="101">
        <f t="shared" ref="Z116" si="174">_xlfn.STDEV.S(R113:R118)</f>
        <v>0.5163977794943222</v>
      </c>
    </row>
    <row r="117" spans="1:27" x14ac:dyDescent="0.2">
      <c r="A117" s="101"/>
      <c r="B117" s="102"/>
      <c r="C117" s="102"/>
      <c r="D117" s="102"/>
      <c r="E117" s="102"/>
      <c r="F117" s="102"/>
      <c r="G117" s="102"/>
      <c r="H117" s="103"/>
      <c r="I117" s="75"/>
      <c r="J117" s="87"/>
      <c r="K117" s="90"/>
      <c r="L117" s="93"/>
      <c r="M117" s="93"/>
      <c r="N117" s="114"/>
      <c r="O117" s="34">
        <v>32</v>
      </c>
      <c r="P117" s="34">
        <v>78</v>
      </c>
      <c r="Q117" s="2">
        <f t="shared" si="163"/>
        <v>7</v>
      </c>
      <c r="R117" s="2">
        <f t="shared" si="98"/>
        <v>8</v>
      </c>
      <c r="S117" s="2">
        <v>21</v>
      </c>
      <c r="T117" s="2">
        <v>15</v>
      </c>
      <c r="U117" s="10">
        <f t="shared" ref="U117" si="175">0.098*J116*M116*0.5*R117</f>
        <v>3.6424200960000004</v>
      </c>
      <c r="V117" s="10">
        <f t="shared" ref="V117" si="176">0.098*J116*M116*Q117</f>
        <v>6.3742351680000002</v>
      </c>
      <c r="W117" s="10">
        <f t="shared" ref="W117" si="177">0.098*J116*M116*(S117-T117)</f>
        <v>5.4636301440000006</v>
      </c>
      <c r="X117" s="84"/>
      <c r="Y117" s="82"/>
      <c r="Z117" s="101"/>
    </row>
    <row r="118" spans="1:27" ht="17" thickBot="1" x14ac:dyDescent="0.25">
      <c r="A118" s="104"/>
      <c r="B118" s="105"/>
      <c r="C118" s="105"/>
      <c r="D118" s="105"/>
      <c r="E118" s="105"/>
      <c r="F118" s="105"/>
      <c r="G118" s="105"/>
      <c r="H118" s="106"/>
      <c r="I118" s="117"/>
      <c r="J118" s="88"/>
      <c r="K118" s="91"/>
      <c r="L118" s="94"/>
      <c r="M118" s="94"/>
      <c r="N118" s="115"/>
      <c r="O118" s="35">
        <v>31</v>
      </c>
      <c r="P118" s="35">
        <v>78</v>
      </c>
      <c r="Q118" s="20">
        <f t="shared" si="163"/>
        <v>5</v>
      </c>
      <c r="R118" s="2">
        <f t="shared" si="98"/>
        <v>9</v>
      </c>
      <c r="S118" s="20">
        <v>20</v>
      </c>
      <c r="T118" s="20">
        <v>14</v>
      </c>
      <c r="U118" s="21">
        <f t="shared" ref="U118" si="178">0.098*J116*M116*0.5*R118</f>
        <v>4.0977226080000007</v>
      </c>
      <c r="V118" s="21">
        <f t="shared" ref="V118" si="179">0.098*J116*M116*Q118</f>
        <v>4.5530251200000009</v>
      </c>
      <c r="W118" s="21">
        <f t="shared" ref="W118" si="180">0.098*J116*M116*(S118-T118)</f>
        <v>5.4636301440000006</v>
      </c>
      <c r="X118" s="85"/>
      <c r="Y118" s="83"/>
      <c r="Z118" s="101"/>
    </row>
    <row r="119" spans="1:27" x14ac:dyDescent="0.2">
      <c r="A119" s="107" t="s">
        <v>8</v>
      </c>
      <c r="B119" s="110" t="s">
        <v>3</v>
      </c>
      <c r="C119" s="110" t="s">
        <v>7</v>
      </c>
      <c r="D119" s="110" t="s">
        <v>9</v>
      </c>
      <c r="E119" s="71" t="s">
        <v>11</v>
      </c>
      <c r="F119" s="71" t="s">
        <v>10</v>
      </c>
      <c r="G119" s="71" t="s">
        <v>12</v>
      </c>
      <c r="H119" s="71" t="s">
        <v>32</v>
      </c>
      <c r="I119" s="74" t="s">
        <v>14</v>
      </c>
      <c r="J119" s="67" t="s">
        <v>31</v>
      </c>
      <c r="K119" s="67" t="s">
        <v>33</v>
      </c>
      <c r="L119" s="67" t="s">
        <v>17</v>
      </c>
      <c r="M119" s="67" t="s">
        <v>0</v>
      </c>
      <c r="N119" s="113" t="s">
        <v>16</v>
      </c>
      <c r="O119" s="4" t="s">
        <v>6</v>
      </c>
      <c r="P119" s="4" t="s">
        <v>34</v>
      </c>
      <c r="Q119" s="17" t="s">
        <v>2</v>
      </c>
      <c r="R119" s="42" t="s">
        <v>1</v>
      </c>
      <c r="S119" s="17" t="s">
        <v>25</v>
      </c>
      <c r="T119" s="17" t="s">
        <v>26</v>
      </c>
      <c r="U119" s="47" t="s">
        <v>20</v>
      </c>
      <c r="V119" s="18" t="s">
        <v>22</v>
      </c>
      <c r="W119" s="47" t="s">
        <v>24</v>
      </c>
      <c r="X119" s="77" t="s">
        <v>19</v>
      </c>
      <c r="Y119" s="79" t="s">
        <v>23</v>
      </c>
      <c r="Z119" s="125" t="s">
        <v>39</v>
      </c>
    </row>
    <row r="120" spans="1:27" x14ac:dyDescent="0.2">
      <c r="A120" s="108"/>
      <c r="B120" s="111"/>
      <c r="C120" s="111"/>
      <c r="D120" s="111"/>
      <c r="E120" s="72"/>
      <c r="F120" s="72"/>
      <c r="G120" s="72"/>
      <c r="H120" s="72"/>
      <c r="I120" s="75"/>
      <c r="J120" s="68"/>
      <c r="K120" s="68"/>
      <c r="L120" s="68"/>
      <c r="M120" s="68"/>
      <c r="N120" s="114"/>
      <c r="O120" s="34">
        <v>38</v>
      </c>
      <c r="P120" s="34">
        <v>76</v>
      </c>
      <c r="Q120" s="2">
        <v>15</v>
      </c>
      <c r="R120" s="2">
        <f t="shared" si="98"/>
        <v>9</v>
      </c>
      <c r="S120" s="2">
        <v>26</v>
      </c>
      <c r="T120" s="2">
        <v>24</v>
      </c>
      <c r="U120" s="9">
        <f t="shared" ref="U120" si="181">0.098*J123*M123*0.5*R120</f>
        <v>2.3832998279999997</v>
      </c>
      <c r="V120" s="9">
        <f t="shared" ref="V120" si="182">0.098*J123*M123*Q120</f>
        <v>7.9443327599999991</v>
      </c>
      <c r="W120" s="9">
        <f t="shared" ref="W120" si="183">0.098*J123*M123*(S120-T120)</f>
        <v>1.0592443679999999</v>
      </c>
      <c r="X120" s="78"/>
      <c r="Y120" s="80"/>
      <c r="Z120" s="125"/>
    </row>
    <row r="121" spans="1:27" x14ac:dyDescent="0.2">
      <c r="A121" s="108"/>
      <c r="B121" s="111"/>
      <c r="C121" s="111"/>
      <c r="D121" s="111"/>
      <c r="E121" s="72"/>
      <c r="F121" s="72"/>
      <c r="G121" s="72"/>
      <c r="H121" s="72"/>
      <c r="I121" s="75"/>
      <c r="J121" s="68"/>
      <c r="K121" s="68"/>
      <c r="L121" s="68"/>
      <c r="M121" s="68"/>
      <c r="N121" s="114"/>
      <c r="O121" s="34">
        <v>38</v>
      </c>
      <c r="P121" s="34">
        <v>73</v>
      </c>
      <c r="Q121" s="2">
        <f t="shared" ref="Q121:Q125" si="184">Q120-2</f>
        <v>13</v>
      </c>
      <c r="R121" s="2">
        <f t="shared" si="98"/>
        <v>8</v>
      </c>
      <c r="S121" s="2">
        <v>24</v>
      </c>
      <c r="T121" s="2">
        <v>21</v>
      </c>
      <c r="U121" s="9">
        <f t="shared" ref="U121" si="185">0.098*J123*M123*0.5*R121</f>
        <v>2.1184887359999998</v>
      </c>
      <c r="V121" s="9">
        <f t="shared" ref="V121" si="186">0.098*J123*M123*Q121</f>
        <v>6.8850883919999992</v>
      </c>
      <c r="W121" s="9">
        <f t="shared" ref="W121" si="187">0.098*J123*M123*(S121-T121)</f>
        <v>1.5888665519999998</v>
      </c>
      <c r="X121" s="23">
        <v>0.95833333333333337</v>
      </c>
      <c r="Y121" s="81" t="s">
        <v>36</v>
      </c>
      <c r="Z121" s="125"/>
    </row>
    <row r="122" spans="1:27" x14ac:dyDescent="0.2">
      <c r="A122" s="108"/>
      <c r="B122" s="111"/>
      <c r="C122" s="111"/>
      <c r="D122" s="111"/>
      <c r="E122" s="72"/>
      <c r="F122" s="72"/>
      <c r="G122" s="72"/>
      <c r="H122" s="72"/>
      <c r="I122" s="75"/>
      <c r="J122" s="69"/>
      <c r="K122" s="69"/>
      <c r="L122" s="69"/>
      <c r="M122" s="69"/>
      <c r="N122" s="114"/>
      <c r="O122" s="34">
        <v>37</v>
      </c>
      <c r="P122" s="34">
        <v>73</v>
      </c>
      <c r="Q122" s="2">
        <f t="shared" si="184"/>
        <v>11</v>
      </c>
      <c r="R122" s="2">
        <f t="shared" si="98"/>
        <v>8</v>
      </c>
      <c r="S122" s="2">
        <v>21</v>
      </c>
      <c r="T122" s="2">
        <v>19</v>
      </c>
      <c r="U122" s="9">
        <f t="shared" ref="U122" si="188">0.098*J123*M123*0.5*R122</f>
        <v>2.1184887359999998</v>
      </c>
      <c r="V122" s="9">
        <f t="shared" ref="V122" si="189">0.098*J123*M123*Q122</f>
        <v>5.8258440239999993</v>
      </c>
      <c r="W122" s="9">
        <f t="shared" ref="W122" si="190">0.098*J123*M123*(S122-T122)</f>
        <v>1.0592443679999999</v>
      </c>
      <c r="X122" s="84"/>
      <c r="Y122" s="82"/>
      <c r="Z122" s="125"/>
    </row>
    <row r="123" spans="1:27" x14ac:dyDescent="0.2">
      <c r="A123" s="108"/>
      <c r="B123" s="111"/>
      <c r="C123" s="111"/>
      <c r="D123" s="111"/>
      <c r="E123" s="72"/>
      <c r="F123" s="72"/>
      <c r="G123" s="72"/>
      <c r="H123" s="72"/>
      <c r="I123" s="75"/>
      <c r="J123" s="86">
        <f t="shared" ref="J123" si="191">(7*F126)/1000</f>
        <v>0.38602199999999992</v>
      </c>
      <c r="K123" s="89">
        <v>35</v>
      </c>
      <c r="L123" s="92">
        <v>9</v>
      </c>
      <c r="M123" s="92">
        <v>14</v>
      </c>
      <c r="N123" s="114"/>
      <c r="O123" s="34">
        <v>38</v>
      </c>
      <c r="P123" s="34">
        <v>73</v>
      </c>
      <c r="Q123" s="2">
        <f t="shared" si="184"/>
        <v>9</v>
      </c>
      <c r="R123" s="2">
        <f t="shared" si="98"/>
        <v>7</v>
      </c>
      <c r="S123" s="2">
        <v>19</v>
      </c>
      <c r="T123" s="2">
        <v>16</v>
      </c>
      <c r="U123" s="9">
        <f t="shared" ref="U123" si="192">0.098*J123*M123*0.5*R123</f>
        <v>1.8536776439999998</v>
      </c>
      <c r="V123" s="9">
        <f t="shared" ref="V123" si="193">0.098*J123*M123*Q123</f>
        <v>4.7665996559999995</v>
      </c>
      <c r="W123" s="9">
        <f t="shared" ref="W123" si="194">0.098*J123*M123*(S123-T123)</f>
        <v>1.5888665519999998</v>
      </c>
      <c r="X123" s="84"/>
      <c r="Y123" s="82"/>
      <c r="Z123" s="66">
        <f t="shared" ref="Z123" si="195">_xlfn.STDEV.S(R120:R125)</f>
        <v>0.752772652709081</v>
      </c>
    </row>
    <row r="124" spans="1:27" x14ac:dyDescent="0.2">
      <c r="A124" s="108"/>
      <c r="B124" s="111"/>
      <c r="C124" s="111"/>
      <c r="D124" s="111"/>
      <c r="E124" s="72"/>
      <c r="F124" s="72"/>
      <c r="G124" s="72"/>
      <c r="H124" s="72"/>
      <c r="I124" s="75"/>
      <c r="J124" s="87"/>
      <c r="K124" s="90"/>
      <c r="L124" s="93"/>
      <c r="M124" s="93"/>
      <c r="N124" s="114"/>
      <c r="O124" s="34">
        <v>38</v>
      </c>
      <c r="P124" s="34">
        <v>63</v>
      </c>
      <c r="Q124" s="2">
        <f t="shared" si="184"/>
        <v>7</v>
      </c>
      <c r="R124" s="2">
        <f t="shared" si="98"/>
        <v>7</v>
      </c>
      <c r="S124" s="2">
        <v>17</v>
      </c>
      <c r="T124" s="2">
        <v>14</v>
      </c>
      <c r="U124" s="9">
        <f t="shared" ref="U124" si="196">0.098*J123*M123*0.5*R124</f>
        <v>1.8536776439999998</v>
      </c>
      <c r="V124" s="9">
        <f t="shared" ref="V124" si="197">0.098*J123*M123*Q124</f>
        <v>3.7073552879999996</v>
      </c>
      <c r="W124" s="9">
        <f t="shared" ref="W124" si="198">0.098*J123*M123*(S124-T124)</f>
        <v>1.5888665519999998</v>
      </c>
      <c r="X124" s="84"/>
      <c r="Y124" s="82"/>
      <c r="Z124" s="66"/>
    </row>
    <row r="125" spans="1:27" ht="17" thickBot="1" x14ac:dyDescent="0.25">
      <c r="A125" s="109"/>
      <c r="B125" s="112"/>
      <c r="C125" s="112"/>
      <c r="D125" s="112"/>
      <c r="E125" s="73"/>
      <c r="F125" s="73"/>
      <c r="G125" s="73"/>
      <c r="H125" s="73"/>
      <c r="I125" s="76"/>
      <c r="J125" s="97"/>
      <c r="K125" s="96"/>
      <c r="L125" s="95"/>
      <c r="M125" s="95"/>
      <c r="N125" s="114"/>
      <c r="O125" s="34">
        <v>38</v>
      </c>
      <c r="P125" s="34">
        <v>63</v>
      </c>
      <c r="Q125" s="2">
        <f t="shared" si="184"/>
        <v>5</v>
      </c>
      <c r="R125" s="2">
        <f t="shared" si="98"/>
        <v>8</v>
      </c>
      <c r="S125" s="2">
        <v>16</v>
      </c>
      <c r="T125" s="2">
        <v>13</v>
      </c>
      <c r="U125" s="9">
        <f t="shared" ref="U125" si="199">0.098*J123*M123*0.5*R125</f>
        <v>2.1184887359999998</v>
      </c>
      <c r="V125" s="9">
        <f t="shared" ref="V125" si="200">0.098*J123*M123*Q125</f>
        <v>2.6481109199999997</v>
      </c>
      <c r="W125" s="9">
        <f t="shared" ref="W125" si="201">0.098*J123*M123*(S125-T125)</f>
        <v>1.5888665519999998</v>
      </c>
      <c r="X125" s="84"/>
      <c r="Y125" s="82"/>
      <c r="Z125" s="66"/>
      <c r="AA125" t="s">
        <v>41</v>
      </c>
    </row>
    <row r="126" spans="1:27" x14ac:dyDescent="0.2">
      <c r="A126" s="19">
        <f>A112+1</f>
        <v>8</v>
      </c>
      <c r="B126" s="3" t="s">
        <v>4</v>
      </c>
      <c r="C126" s="3">
        <v>38</v>
      </c>
      <c r="D126" s="3">
        <v>163</v>
      </c>
      <c r="E126" s="3">
        <v>80</v>
      </c>
      <c r="F126" s="3">
        <f>IF(B126="M", 50 + 0.91*(D126-152.4), IF(B126="F", 45.5 + 0.91*(D126-152.4), ""))</f>
        <v>55.145999999999994</v>
      </c>
      <c r="G126" s="3">
        <v>60</v>
      </c>
      <c r="H126" s="3">
        <f t="shared" ref="H126" si="202">E126/(D126*10^-2)^2</f>
        <v>30.110278896458276</v>
      </c>
      <c r="I126" s="116" t="s">
        <v>15</v>
      </c>
      <c r="J126" s="70" t="s">
        <v>31</v>
      </c>
      <c r="K126" s="70" t="s">
        <v>33</v>
      </c>
      <c r="L126" s="70" t="s">
        <v>17</v>
      </c>
      <c r="M126" s="70" t="s">
        <v>0</v>
      </c>
      <c r="N126" s="114"/>
      <c r="O126" s="4" t="s">
        <v>6</v>
      </c>
      <c r="P126" s="4" t="s">
        <v>34</v>
      </c>
      <c r="Q126" s="6" t="s">
        <v>2</v>
      </c>
      <c r="R126" s="42" t="s">
        <v>1</v>
      </c>
      <c r="S126" s="17" t="s">
        <v>25</v>
      </c>
      <c r="T126" s="17" t="s">
        <v>26</v>
      </c>
      <c r="U126" s="31" t="s">
        <v>21</v>
      </c>
      <c r="V126" s="7" t="s">
        <v>22</v>
      </c>
      <c r="W126" s="31" t="s">
        <v>24</v>
      </c>
      <c r="X126" s="84"/>
      <c r="Y126" s="82"/>
      <c r="Z126" s="125" t="s">
        <v>39</v>
      </c>
      <c r="AA126" t="s">
        <v>44</v>
      </c>
    </row>
    <row r="127" spans="1:27" x14ac:dyDescent="0.2">
      <c r="A127" s="98"/>
      <c r="B127" s="99"/>
      <c r="C127" s="99"/>
      <c r="D127" s="99"/>
      <c r="E127" s="99"/>
      <c r="F127" s="99"/>
      <c r="G127" s="99"/>
      <c r="H127" s="100"/>
      <c r="I127" s="75"/>
      <c r="J127" s="68"/>
      <c r="K127" s="68"/>
      <c r="L127" s="68"/>
      <c r="M127" s="68"/>
      <c r="N127" s="114"/>
      <c r="O127" s="34">
        <v>36</v>
      </c>
      <c r="P127" s="34">
        <v>68</v>
      </c>
      <c r="Q127" s="2">
        <v>15</v>
      </c>
      <c r="R127" s="2">
        <f t="shared" si="98"/>
        <v>10</v>
      </c>
      <c r="S127" s="2">
        <v>30</v>
      </c>
      <c r="T127" s="2">
        <v>25</v>
      </c>
      <c r="U127" s="10">
        <f t="shared" ref="U127" si="203">0.098*J130*M130*0.5*R127</f>
        <v>3.40471404</v>
      </c>
      <c r="V127" s="10">
        <f t="shared" ref="V127" si="204">0.098*J130*M130*Q127</f>
        <v>10.21414212</v>
      </c>
      <c r="W127" s="10">
        <f t="shared" ref="W127" si="205">0.098*J130*M130*(S127-T127)</f>
        <v>3.40471404</v>
      </c>
      <c r="X127" s="84"/>
      <c r="Y127" s="82"/>
      <c r="Z127" s="125"/>
    </row>
    <row r="128" spans="1:27" x14ac:dyDescent="0.2">
      <c r="A128" s="101"/>
      <c r="B128" s="102"/>
      <c r="C128" s="102"/>
      <c r="D128" s="102"/>
      <c r="E128" s="102"/>
      <c r="F128" s="102"/>
      <c r="G128" s="102"/>
      <c r="H128" s="103"/>
      <c r="I128" s="75"/>
      <c r="J128" s="68"/>
      <c r="K128" s="68"/>
      <c r="L128" s="68"/>
      <c r="M128" s="68"/>
      <c r="N128" s="114"/>
      <c r="O128" s="34">
        <v>37</v>
      </c>
      <c r="P128" s="34">
        <v>50</v>
      </c>
      <c r="Q128" s="2">
        <f t="shared" ref="Q128:Q132" si="206">Q127-2</f>
        <v>13</v>
      </c>
      <c r="R128" s="2">
        <f t="shared" si="98"/>
        <v>11</v>
      </c>
      <c r="S128" s="2">
        <v>28</v>
      </c>
      <c r="T128" s="2">
        <v>24</v>
      </c>
      <c r="U128" s="10">
        <f t="shared" ref="U128" si="207">0.098*J130*M130*0.5*R128</f>
        <v>3.7451854439999996</v>
      </c>
      <c r="V128" s="10">
        <f t="shared" ref="V128" si="208">0.098*J130*M130*Q128</f>
        <v>8.8522565039999996</v>
      </c>
      <c r="W128" s="10">
        <f t="shared" ref="W128" si="209">0.098*J130*M130*(S128-T128)</f>
        <v>2.7237712319999998</v>
      </c>
      <c r="X128" s="84"/>
      <c r="Y128" s="82"/>
      <c r="Z128" s="125"/>
    </row>
    <row r="129" spans="1:27" x14ac:dyDescent="0.2">
      <c r="A129" s="101"/>
      <c r="B129" s="102"/>
      <c r="C129" s="102"/>
      <c r="D129" s="102"/>
      <c r="E129" s="102"/>
      <c r="F129" s="102"/>
      <c r="G129" s="102"/>
      <c r="H129" s="103"/>
      <c r="I129" s="75"/>
      <c r="J129" s="69"/>
      <c r="K129" s="69"/>
      <c r="L129" s="69"/>
      <c r="M129" s="69"/>
      <c r="N129" s="114"/>
      <c r="O129" s="34">
        <v>37</v>
      </c>
      <c r="P129" s="34">
        <v>50</v>
      </c>
      <c r="Q129" s="2">
        <f t="shared" si="206"/>
        <v>11</v>
      </c>
      <c r="R129" s="2">
        <f t="shared" si="98"/>
        <v>10</v>
      </c>
      <c r="S129" s="2">
        <v>25</v>
      </c>
      <c r="T129" s="2">
        <v>21</v>
      </c>
      <c r="U129" s="10">
        <f t="shared" ref="U129" si="210">0.098*J130*M130*0.5*R129</f>
        <v>3.40471404</v>
      </c>
      <c r="V129" s="10">
        <f t="shared" ref="V129" si="211">0.098*J130*M130*Q129</f>
        <v>7.4903708879999993</v>
      </c>
      <c r="W129" s="10">
        <f t="shared" ref="W129" si="212">0.098*J130*M130*(S129-T129)</f>
        <v>2.7237712319999998</v>
      </c>
      <c r="X129" s="84"/>
      <c r="Y129" s="82"/>
      <c r="Z129" s="125"/>
    </row>
    <row r="130" spans="1:27" x14ac:dyDescent="0.2">
      <c r="A130" s="101"/>
      <c r="B130" s="102"/>
      <c r="C130" s="102"/>
      <c r="D130" s="102"/>
      <c r="E130" s="102"/>
      <c r="F130" s="102"/>
      <c r="G130" s="102"/>
      <c r="H130" s="103"/>
      <c r="I130" s="75"/>
      <c r="J130" s="86">
        <f t="shared" ref="J130" si="213">(9*F126)/1000</f>
        <v>0.49631399999999998</v>
      </c>
      <c r="K130" s="89">
        <v>38</v>
      </c>
      <c r="L130" s="92">
        <v>10</v>
      </c>
      <c r="M130" s="92">
        <v>14</v>
      </c>
      <c r="N130" s="114"/>
      <c r="O130" s="41">
        <v>39</v>
      </c>
      <c r="P130" s="34">
        <v>50</v>
      </c>
      <c r="Q130" s="2">
        <f t="shared" si="206"/>
        <v>9</v>
      </c>
      <c r="R130" s="2">
        <f t="shared" si="98"/>
        <v>10</v>
      </c>
      <c r="S130" s="2">
        <v>23</v>
      </c>
      <c r="T130" s="2">
        <v>19</v>
      </c>
      <c r="U130" s="10">
        <f t="shared" ref="U130" si="214">0.098*J130*M130*0.5*R130</f>
        <v>3.40471404</v>
      </c>
      <c r="V130" s="10">
        <f t="shared" ref="V130" si="215">0.098*J130*M130*Q130</f>
        <v>6.1284852719999998</v>
      </c>
      <c r="W130" s="10">
        <f t="shared" ref="W130" si="216">0.098*J130*M130*(S130-T130)</f>
        <v>2.7237712319999998</v>
      </c>
      <c r="X130" s="84"/>
      <c r="Y130" s="82"/>
      <c r="Z130" s="101">
        <f t="shared" ref="Z130" si="217">_xlfn.STDEV.S(R127:R132)</f>
        <v>0.54772255750516607</v>
      </c>
    </row>
    <row r="131" spans="1:27" x14ac:dyDescent="0.2">
      <c r="A131" s="101"/>
      <c r="B131" s="102"/>
      <c r="C131" s="102"/>
      <c r="D131" s="102"/>
      <c r="E131" s="102"/>
      <c r="F131" s="102"/>
      <c r="G131" s="102"/>
      <c r="H131" s="103"/>
      <c r="I131" s="75"/>
      <c r="J131" s="87"/>
      <c r="K131" s="90"/>
      <c r="L131" s="93"/>
      <c r="M131" s="93"/>
      <c r="N131" s="114"/>
      <c r="O131" s="34">
        <v>40</v>
      </c>
      <c r="P131" s="34">
        <v>65</v>
      </c>
      <c r="Q131" s="2">
        <f t="shared" si="206"/>
        <v>7</v>
      </c>
      <c r="R131" s="2">
        <f t="shared" si="98"/>
        <v>11</v>
      </c>
      <c r="S131" s="2">
        <v>21</v>
      </c>
      <c r="T131" s="2">
        <v>18</v>
      </c>
      <c r="U131" s="10">
        <f t="shared" ref="U131" si="218">0.098*J130*M130*0.5*R131</f>
        <v>3.7451854439999996</v>
      </c>
      <c r="V131" s="10">
        <f t="shared" ref="V131" si="219">0.098*J130*M130*Q131</f>
        <v>4.7665996559999995</v>
      </c>
      <c r="W131" s="10">
        <f t="shared" ref="W131" si="220">0.098*J130*M130*(S131-T131)</f>
        <v>2.0428284239999996</v>
      </c>
      <c r="X131" s="84"/>
      <c r="Y131" s="82"/>
      <c r="Z131" s="101"/>
    </row>
    <row r="132" spans="1:27" ht="17" thickBot="1" x14ac:dyDescent="0.25">
      <c r="A132" s="104"/>
      <c r="B132" s="105"/>
      <c r="C132" s="105"/>
      <c r="D132" s="105"/>
      <c r="E132" s="105"/>
      <c r="F132" s="105"/>
      <c r="G132" s="105"/>
      <c r="H132" s="106"/>
      <c r="I132" s="117"/>
      <c r="J132" s="88"/>
      <c r="K132" s="91"/>
      <c r="L132" s="94"/>
      <c r="M132" s="94"/>
      <c r="N132" s="115"/>
      <c r="O132" s="35">
        <v>40</v>
      </c>
      <c r="P132" s="35">
        <v>65</v>
      </c>
      <c r="Q132" s="20">
        <f t="shared" si="206"/>
        <v>5</v>
      </c>
      <c r="R132" s="2">
        <f t="shared" si="98"/>
        <v>11</v>
      </c>
      <c r="S132" s="20">
        <v>20</v>
      </c>
      <c r="T132" s="20">
        <v>16</v>
      </c>
      <c r="U132" s="21">
        <f t="shared" ref="U132" si="221">0.098*J130*M130*0.5*R132</f>
        <v>3.7451854439999996</v>
      </c>
      <c r="V132" s="21">
        <f t="shared" ref="V132" si="222">0.098*J130*M130*Q132</f>
        <v>3.40471404</v>
      </c>
      <c r="W132" s="21">
        <f t="shared" ref="W132" si="223">0.098*J130*M130*(S132-T132)</f>
        <v>2.7237712319999998</v>
      </c>
      <c r="X132" s="85"/>
      <c r="Y132" s="83"/>
      <c r="Z132" s="101"/>
    </row>
    <row r="133" spans="1:27" x14ac:dyDescent="0.2">
      <c r="A133" s="107" t="s">
        <v>8</v>
      </c>
      <c r="B133" s="110" t="s">
        <v>3</v>
      </c>
      <c r="C133" s="110" t="s">
        <v>7</v>
      </c>
      <c r="D133" s="110" t="s">
        <v>9</v>
      </c>
      <c r="E133" s="71" t="s">
        <v>11</v>
      </c>
      <c r="F133" s="71" t="s">
        <v>10</v>
      </c>
      <c r="G133" s="71" t="s">
        <v>12</v>
      </c>
      <c r="H133" s="71" t="s">
        <v>32</v>
      </c>
      <c r="I133" s="74" t="s">
        <v>14</v>
      </c>
      <c r="J133" s="67" t="s">
        <v>31</v>
      </c>
      <c r="K133" s="67" t="s">
        <v>33</v>
      </c>
      <c r="L133" s="67" t="s">
        <v>17</v>
      </c>
      <c r="M133" s="67" t="s">
        <v>0</v>
      </c>
      <c r="N133" s="113" t="s">
        <v>16</v>
      </c>
      <c r="O133" s="4" t="s">
        <v>6</v>
      </c>
      <c r="P133" s="4" t="s">
        <v>34</v>
      </c>
      <c r="Q133" s="17" t="s">
        <v>2</v>
      </c>
      <c r="R133" s="6" t="s">
        <v>1</v>
      </c>
      <c r="S133" s="17" t="s">
        <v>25</v>
      </c>
      <c r="T133" s="17" t="s">
        <v>26</v>
      </c>
      <c r="U133" s="47" t="s">
        <v>20</v>
      </c>
      <c r="V133" s="18" t="s">
        <v>22</v>
      </c>
      <c r="W133" s="47" t="s">
        <v>24</v>
      </c>
      <c r="X133" s="77" t="s">
        <v>19</v>
      </c>
      <c r="Y133" s="79" t="s">
        <v>23</v>
      </c>
      <c r="Z133" s="125" t="s">
        <v>39</v>
      </c>
    </row>
    <row r="134" spans="1:27" x14ac:dyDescent="0.2">
      <c r="A134" s="108"/>
      <c r="B134" s="111"/>
      <c r="C134" s="111"/>
      <c r="D134" s="111"/>
      <c r="E134" s="72"/>
      <c r="F134" s="72"/>
      <c r="G134" s="72"/>
      <c r="H134" s="72"/>
      <c r="I134" s="75"/>
      <c r="J134" s="68"/>
      <c r="K134" s="68"/>
      <c r="L134" s="68"/>
      <c r="M134" s="68"/>
      <c r="N134" s="114"/>
      <c r="O134" s="34">
        <v>29</v>
      </c>
      <c r="P134" s="34">
        <v>64</v>
      </c>
      <c r="Q134" s="2">
        <v>15</v>
      </c>
      <c r="R134" s="2">
        <f t="shared" si="98"/>
        <v>5</v>
      </c>
      <c r="S134" s="2">
        <v>22</v>
      </c>
      <c r="T134" s="2">
        <v>20</v>
      </c>
      <c r="U134" s="9">
        <f t="shared" ref="U134" si="224">0.098*J137*M137*0.5*R134</f>
        <v>1.14926266</v>
      </c>
      <c r="V134" s="9">
        <f t="shared" ref="V134" si="225">0.098*J137*M137*Q134</f>
        <v>6.8955759600000004</v>
      </c>
      <c r="W134" s="9">
        <f t="shared" ref="W134" si="226">0.098*J137*M137*(S134-T134)</f>
        <v>0.91941012799999999</v>
      </c>
      <c r="X134" s="78"/>
      <c r="Y134" s="80"/>
      <c r="Z134" s="125"/>
    </row>
    <row r="135" spans="1:27" x14ac:dyDescent="0.2">
      <c r="A135" s="108"/>
      <c r="B135" s="111"/>
      <c r="C135" s="111"/>
      <c r="D135" s="111"/>
      <c r="E135" s="72"/>
      <c r="F135" s="72"/>
      <c r="G135" s="72"/>
      <c r="H135" s="72"/>
      <c r="I135" s="75"/>
      <c r="J135" s="68"/>
      <c r="K135" s="68"/>
      <c r="L135" s="68"/>
      <c r="M135" s="68"/>
      <c r="N135" s="114"/>
      <c r="O135" s="34">
        <v>31</v>
      </c>
      <c r="P135" s="34">
        <v>62</v>
      </c>
      <c r="Q135" s="2">
        <f t="shared" ref="Q135:Q139" si="227">Q134-2</f>
        <v>13</v>
      </c>
      <c r="R135" s="2">
        <f t="shared" si="98"/>
        <v>5</v>
      </c>
      <c r="S135" s="2">
        <v>20</v>
      </c>
      <c r="T135" s="2">
        <v>18</v>
      </c>
      <c r="U135" s="9">
        <f t="shared" ref="U135" si="228">0.098*J137*M137*0.5*R135</f>
        <v>1.14926266</v>
      </c>
      <c r="V135" s="9">
        <f t="shared" ref="V135" si="229">0.098*J137*M137*Q135</f>
        <v>5.9761658319999995</v>
      </c>
      <c r="W135" s="9">
        <f t="shared" ref="W135" si="230">0.098*J137*M137*(S135-T135)</f>
        <v>0.91941012799999999</v>
      </c>
      <c r="X135" s="23">
        <v>0.65277777777777779</v>
      </c>
      <c r="Y135" s="81">
        <v>0.65277777777777801</v>
      </c>
      <c r="Z135" s="125"/>
    </row>
    <row r="136" spans="1:27" x14ac:dyDescent="0.2">
      <c r="A136" s="108"/>
      <c r="B136" s="111"/>
      <c r="C136" s="111"/>
      <c r="D136" s="111"/>
      <c r="E136" s="72"/>
      <c r="F136" s="72"/>
      <c r="G136" s="72"/>
      <c r="H136" s="72"/>
      <c r="I136" s="75"/>
      <c r="J136" s="69"/>
      <c r="K136" s="69"/>
      <c r="L136" s="69"/>
      <c r="M136" s="69"/>
      <c r="N136" s="114"/>
      <c r="O136" s="34">
        <v>31</v>
      </c>
      <c r="P136" s="34">
        <v>59</v>
      </c>
      <c r="Q136" s="2">
        <f t="shared" si="227"/>
        <v>11</v>
      </c>
      <c r="R136" s="2">
        <f t="shared" si="98"/>
        <v>5</v>
      </c>
      <c r="S136" s="2">
        <v>18</v>
      </c>
      <c r="T136" s="2">
        <v>16</v>
      </c>
      <c r="U136" s="9">
        <f t="shared" ref="U136" si="231">0.098*J137*M137*0.5*R136</f>
        <v>1.14926266</v>
      </c>
      <c r="V136" s="9">
        <f t="shared" ref="V136" si="232">0.098*J137*M137*Q136</f>
        <v>5.0567557040000004</v>
      </c>
      <c r="W136" s="9">
        <f t="shared" ref="W136" si="233">0.098*J137*M137*(S136-T136)</f>
        <v>0.91941012799999999</v>
      </c>
      <c r="X136" s="84"/>
      <c r="Y136" s="82"/>
      <c r="Z136" s="125"/>
    </row>
    <row r="137" spans="1:27" x14ac:dyDescent="0.2">
      <c r="A137" s="108"/>
      <c r="B137" s="111"/>
      <c r="C137" s="111"/>
      <c r="D137" s="111"/>
      <c r="E137" s="72"/>
      <c r="F137" s="72"/>
      <c r="G137" s="72"/>
      <c r="H137" s="72"/>
      <c r="I137" s="75"/>
      <c r="J137" s="86">
        <f t="shared" ref="J137" si="234">(7*F140)/1000</f>
        <v>0.33506199999999997</v>
      </c>
      <c r="K137" s="89">
        <v>31</v>
      </c>
      <c r="L137" s="92">
        <v>6</v>
      </c>
      <c r="M137" s="92">
        <v>14</v>
      </c>
      <c r="N137" s="114"/>
      <c r="O137" s="34">
        <v>31</v>
      </c>
      <c r="P137" s="34">
        <v>85</v>
      </c>
      <c r="Q137" s="2">
        <f t="shared" si="227"/>
        <v>9</v>
      </c>
      <c r="R137" s="2">
        <f t="shared" si="98"/>
        <v>5</v>
      </c>
      <c r="S137" s="2">
        <v>16</v>
      </c>
      <c r="T137" s="2">
        <v>14</v>
      </c>
      <c r="U137" s="9">
        <f t="shared" ref="U137" si="235">0.098*J137*M137*0.5*R137</f>
        <v>1.14926266</v>
      </c>
      <c r="V137" s="9">
        <f t="shared" ref="V137" si="236">0.098*J137*M137*Q137</f>
        <v>4.1373455759999995</v>
      </c>
      <c r="W137" s="9">
        <f t="shared" ref="W137" si="237">0.098*J137*M137*(S137-T137)</f>
        <v>0.91941012799999999</v>
      </c>
      <c r="X137" s="84"/>
      <c r="Y137" s="82"/>
      <c r="Z137" s="66">
        <f t="shared" ref="Z137" si="238">_xlfn.STDEV.S(R134:R139)</f>
        <v>0.40824829046386302</v>
      </c>
    </row>
    <row r="138" spans="1:27" x14ac:dyDescent="0.2">
      <c r="A138" s="108"/>
      <c r="B138" s="111"/>
      <c r="C138" s="111"/>
      <c r="D138" s="111"/>
      <c r="E138" s="72"/>
      <c r="F138" s="72"/>
      <c r="G138" s="72"/>
      <c r="H138" s="72"/>
      <c r="I138" s="75"/>
      <c r="J138" s="87"/>
      <c r="K138" s="90"/>
      <c r="L138" s="93"/>
      <c r="M138" s="93"/>
      <c r="N138" s="114"/>
      <c r="O138" s="34">
        <v>33</v>
      </c>
      <c r="P138" s="34">
        <v>85</v>
      </c>
      <c r="Q138" s="2">
        <f t="shared" si="227"/>
        <v>7</v>
      </c>
      <c r="R138" s="2">
        <f t="shared" si="98"/>
        <v>5</v>
      </c>
      <c r="S138" s="2">
        <v>14</v>
      </c>
      <c r="T138" s="2">
        <v>12</v>
      </c>
      <c r="U138" s="9">
        <f t="shared" ref="U138" si="239">0.098*J137*M137*0.5*R138</f>
        <v>1.14926266</v>
      </c>
      <c r="V138" s="9">
        <f t="shared" ref="V138" si="240">0.098*J137*M137*Q138</f>
        <v>3.217935448</v>
      </c>
      <c r="W138" s="9">
        <f t="shared" ref="W138" si="241">0.098*J137*M137*(S138-T138)</f>
        <v>0.91941012799999999</v>
      </c>
      <c r="X138" s="84"/>
      <c r="Y138" s="82"/>
      <c r="Z138" s="66"/>
    </row>
    <row r="139" spans="1:27" ht="17" thickBot="1" x14ac:dyDescent="0.25">
      <c r="A139" s="109"/>
      <c r="B139" s="112"/>
      <c r="C139" s="112"/>
      <c r="D139" s="112"/>
      <c r="E139" s="73"/>
      <c r="F139" s="73"/>
      <c r="G139" s="73"/>
      <c r="H139" s="73"/>
      <c r="I139" s="76"/>
      <c r="J139" s="97"/>
      <c r="K139" s="96"/>
      <c r="L139" s="95"/>
      <c r="M139" s="95"/>
      <c r="N139" s="114"/>
      <c r="O139" s="34">
        <v>34</v>
      </c>
      <c r="P139" s="41">
        <v>92</v>
      </c>
      <c r="Q139" s="2">
        <f t="shared" si="227"/>
        <v>5</v>
      </c>
      <c r="R139" s="2">
        <f t="shared" si="98"/>
        <v>6</v>
      </c>
      <c r="S139" s="2">
        <v>13</v>
      </c>
      <c r="T139" s="2">
        <v>11</v>
      </c>
      <c r="U139" s="9">
        <f t="shared" ref="U139" si="242">0.098*J137*M137*0.5*R139</f>
        <v>1.379115192</v>
      </c>
      <c r="V139" s="9">
        <f t="shared" ref="V139" si="243">0.098*J137*M137*Q139</f>
        <v>2.29852532</v>
      </c>
      <c r="W139" s="9">
        <f t="shared" ref="W139" si="244">0.098*J137*M137*(S139-T139)</f>
        <v>0.91941012799999999</v>
      </c>
      <c r="X139" s="84"/>
      <c r="Y139" s="82"/>
      <c r="Z139" s="66"/>
      <c r="AA139" t="s">
        <v>41</v>
      </c>
    </row>
    <row r="140" spans="1:27" x14ac:dyDescent="0.2">
      <c r="A140" s="19">
        <f>A126+1</f>
        <v>9</v>
      </c>
      <c r="B140" s="3" t="s">
        <v>4</v>
      </c>
      <c r="C140" s="3">
        <v>48</v>
      </c>
      <c r="D140" s="3">
        <v>155</v>
      </c>
      <c r="E140" s="3">
        <v>80</v>
      </c>
      <c r="F140" s="3">
        <f>IF(B140="M", 50 + 0.91*(D140-152.4), IF(B140="F", 45.5 + 0.91*(D140-152.4), ""))</f>
        <v>47.865999999999993</v>
      </c>
      <c r="G140" s="3">
        <v>88</v>
      </c>
      <c r="H140" s="3">
        <f t="shared" ref="H140" si="245">E140/(D140*10^-2)^2</f>
        <v>33.298647242455772</v>
      </c>
      <c r="I140" s="116" t="s">
        <v>15</v>
      </c>
      <c r="J140" s="70" t="s">
        <v>31</v>
      </c>
      <c r="K140" s="70" t="s">
        <v>33</v>
      </c>
      <c r="L140" s="70" t="s">
        <v>17</v>
      </c>
      <c r="M140" s="70" t="s">
        <v>0</v>
      </c>
      <c r="N140" s="114"/>
      <c r="O140" s="4" t="s">
        <v>6</v>
      </c>
      <c r="P140" s="4" t="s">
        <v>34</v>
      </c>
      <c r="Q140" s="6" t="s">
        <v>2</v>
      </c>
      <c r="R140" s="6" t="s">
        <v>1</v>
      </c>
      <c r="S140" s="17" t="s">
        <v>25</v>
      </c>
      <c r="T140" s="17" t="s">
        <v>26</v>
      </c>
      <c r="U140" s="31" t="s">
        <v>21</v>
      </c>
      <c r="V140" s="7" t="s">
        <v>22</v>
      </c>
      <c r="W140" s="31" t="s">
        <v>24</v>
      </c>
      <c r="X140" s="84"/>
      <c r="Y140" s="82"/>
      <c r="Z140" s="125" t="s">
        <v>39</v>
      </c>
      <c r="AA140" t="s">
        <v>42</v>
      </c>
    </row>
    <row r="141" spans="1:27" x14ac:dyDescent="0.2">
      <c r="A141" s="98"/>
      <c r="B141" s="99"/>
      <c r="C141" s="99"/>
      <c r="D141" s="99"/>
      <c r="E141" s="99"/>
      <c r="F141" s="99"/>
      <c r="G141" s="99"/>
      <c r="H141" s="100"/>
      <c r="I141" s="75"/>
      <c r="J141" s="68"/>
      <c r="K141" s="68"/>
      <c r="L141" s="68"/>
      <c r="M141" s="68"/>
      <c r="N141" s="114"/>
      <c r="O141" s="34">
        <v>30</v>
      </c>
      <c r="P141" s="34">
        <v>78</v>
      </c>
      <c r="Q141" s="2">
        <v>15</v>
      </c>
      <c r="R141" s="2">
        <f t="shared" si="98"/>
        <v>7</v>
      </c>
      <c r="S141" s="2">
        <v>25</v>
      </c>
      <c r="T141" s="2">
        <v>22</v>
      </c>
      <c r="U141" s="10">
        <f t="shared" ref="U141" si="246">0.098*J144*M144*0.5*R141</f>
        <v>2.2164351299999998</v>
      </c>
      <c r="V141" s="10">
        <f t="shared" ref="V141" si="247">0.098*J144*M144*Q141</f>
        <v>9.4990076999999982</v>
      </c>
      <c r="W141" s="10">
        <f t="shared" ref="W141" si="248">0.098*J144*M144*(S141-T141)</f>
        <v>1.8998015399999999</v>
      </c>
      <c r="X141" s="84"/>
      <c r="Y141" s="82"/>
      <c r="Z141" s="125"/>
    </row>
    <row r="142" spans="1:27" x14ac:dyDescent="0.2">
      <c r="A142" s="101"/>
      <c r="B142" s="102"/>
      <c r="C142" s="102"/>
      <c r="D142" s="102"/>
      <c r="E142" s="102"/>
      <c r="F142" s="102"/>
      <c r="G142" s="102"/>
      <c r="H142" s="103"/>
      <c r="I142" s="75"/>
      <c r="J142" s="68"/>
      <c r="K142" s="68"/>
      <c r="L142" s="68"/>
      <c r="M142" s="68"/>
      <c r="N142" s="114"/>
      <c r="O142" s="34">
        <v>31</v>
      </c>
      <c r="P142" s="34">
        <v>78</v>
      </c>
      <c r="Q142" s="2">
        <f t="shared" ref="Q142:Q146" si="249">Q141-2</f>
        <v>13</v>
      </c>
      <c r="R142" s="2">
        <f t="shared" si="98"/>
        <v>6</v>
      </c>
      <c r="S142" s="2">
        <v>23</v>
      </c>
      <c r="T142" s="2">
        <v>19</v>
      </c>
      <c r="U142" s="10">
        <f t="shared" ref="U142" si="250">0.098*J144*M144*0.5*R142</f>
        <v>1.8998015399999999</v>
      </c>
      <c r="V142" s="10">
        <f t="shared" ref="V142" si="251">0.098*J144*M144*Q142</f>
        <v>8.2324733399999985</v>
      </c>
      <c r="W142" s="10">
        <f t="shared" ref="W142" si="252">0.098*J144*M144*(S142-T142)</f>
        <v>2.5330687199999997</v>
      </c>
      <c r="X142" s="84"/>
      <c r="Y142" s="82"/>
      <c r="Z142" s="125"/>
    </row>
    <row r="143" spans="1:27" x14ac:dyDescent="0.2">
      <c r="A143" s="101"/>
      <c r="B143" s="102"/>
      <c r="C143" s="102"/>
      <c r="D143" s="102"/>
      <c r="E143" s="102"/>
      <c r="F143" s="102"/>
      <c r="G143" s="102"/>
      <c r="H143" s="103"/>
      <c r="I143" s="75"/>
      <c r="J143" s="69"/>
      <c r="K143" s="69"/>
      <c r="L143" s="69"/>
      <c r="M143" s="69"/>
      <c r="N143" s="114"/>
      <c r="O143" s="34">
        <v>31</v>
      </c>
      <c r="P143" s="34">
        <v>76</v>
      </c>
      <c r="Q143" s="2">
        <f t="shared" si="249"/>
        <v>11</v>
      </c>
      <c r="R143" s="2">
        <f t="shared" si="98"/>
        <v>7</v>
      </c>
      <c r="S143" s="2">
        <v>21</v>
      </c>
      <c r="T143" s="2">
        <v>18</v>
      </c>
      <c r="U143" s="10">
        <f t="shared" ref="U143" si="253">0.098*J144*M144*0.5*R143</f>
        <v>2.2164351299999998</v>
      </c>
      <c r="V143" s="10">
        <f t="shared" ref="V143" si="254">0.098*J144*M144*Q143</f>
        <v>6.9659389799999989</v>
      </c>
      <c r="W143" s="10">
        <f t="shared" ref="W143" si="255">0.098*J144*M144*(S143-T143)</f>
        <v>1.8998015399999999</v>
      </c>
      <c r="X143" s="84"/>
      <c r="Y143" s="82"/>
      <c r="Z143" s="125"/>
    </row>
    <row r="144" spans="1:27" x14ac:dyDescent="0.2">
      <c r="A144" s="101"/>
      <c r="B144" s="102"/>
      <c r="C144" s="102"/>
      <c r="D144" s="102"/>
      <c r="E144" s="102"/>
      <c r="F144" s="102"/>
      <c r="G144" s="102"/>
      <c r="H144" s="103"/>
      <c r="I144" s="75"/>
      <c r="J144" s="86">
        <f t="shared" ref="J144" si="256">(9*F140)/1000</f>
        <v>0.4307939999999999</v>
      </c>
      <c r="K144" s="89">
        <v>31</v>
      </c>
      <c r="L144" s="92">
        <v>6</v>
      </c>
      <c r="M144" s="92">
        <v>15</v>
      </c>
      <c r="N144" s="114"/>
      <c r="O144" s="34">
        <v>30</v>
      </c>
      <c r="P144" s="34">
        <v>76</v>
      </c>
      <c r="Q144" s="2">
        <f t="shared" si="249"/>
        <v>9</v>
      </c>
      <c r="R144" s="2">
        <f t="shared" si="98"/>
        <v>7</v>
      </c>
      <c r="S144" s="2">
        <v>19</v>
      </c>
      <c r="T144" s="2">
        <v>16</v>
      </c>
      <c r="U144" s="10">
        <f t="shared" ref="U144" si="257">0.098*J144*M144*0.5*R144</f>
        <v>2.2164351299999998</v>
      </c>
      <c r="V144" s="10">
        <f t="shared" ref="V144" si="258">0.098*J144*M144*Q144</f>
        <v>5.6994046199999993</v>
      </c>
      <c r="W144" s="10">
        <f t="shared" ref="W144" si="259">0.098*J144*M144*(S144-T144)</f>
        <v>1.8998015399999999</v>
      </c>
      <c r="X144" s="84"/>
      <c r="Y144" s="82"/>
      <c r="Z144" s="101">
        <f t="shared" ref="Z144" si="260">_xlfn.STDEV.S(R141:R146)</f>
        <v>0.40824829046386302</v>
      </c>
    </row>
    <row r="145" spans="1:27" x14ac:dyDescent="0.2">
      <c r="A145" s="101"/>
      <c r="B145" s="102"/>
      <c r="C145" s="102"/>
      <c r="D145" s="102"/>
      <c r="E145" s="102"/>
      <c r="F145" s="102"/>
      <c r="G145" s="102"/>
      <c r="H145" s="103"/>
      <c r="I145" s="75"/>
      <c r="J145" s="87"/>
      <c r="K145" s="90"/>
      <c r="L145" s="93"/>
      <c r="M145" s="93"/>
      <c r="N145" s="114"/>
      <c r="O145" s="34">
        <v>30</v>
      </c>
      <c r="P145" s="34">
        <v>74</v>
      </c>
      <c r="Q145" s="2">
        <f t="shared" si="249"/>
        <v>7</v>
      </c>
      <c r="R145" s="2">
        <f t="shared" si="98"/>
        <v>7</v>
      </c>
      <c r="S145" s="2">
        <v>17</v>
      </c>
      <c r="T145" s="2">
        <v>14</v>
      </c>
      <c r="U145" s="10">
        <f t="shared" ref="U145" si="261">0.098*J144*M144*0.5*R145</f>
        <v>2.2164351299999998</v>
      </c>
      <c r="V145" s="10">
        <f t="shared" ref="V145" si="262">0.098*J144*M144*Q145</f>
        <v>4.4328702599999996</v>
      </c>
      <c r="W145" s="10">
        <f t="shared" ref="W145" si="263">0.098*J144*M144*(S145-T145)</f>
        <v>1.8998015399999999</v>
      </c>
      <c r="X145" s="84"/>
      <c r="Y145" s="82"/>
      <c r="Z145" s="101"/>
    </row>
    <row r="146" spans="1:27" ht="17" thickBot="1" x14ac:dyDescent="0.25">
      <c r="A146" s="104"/>
      <c r="B146" s="105"/>
      <c r="C146" s="105"/>
      <c r="D146" s="105"/>
      <c r="E146" s="105"/>
      <c r="F146" s="105"/>
      <c r="G146" s="105"/>
      <c r="H146" s="106"/>
      <c r="I146" s="117"/>
      <c r="J146" s="88"/>
      <c r="K146" s="91"/>
      <c r="L146" s="94"/>
      <c r="M146" s="94"/>
      <c r="N146" s="115"/>
      <c r="O146" s="35">
        <v>30</v>
      </c>
      <c r="P146" s="35">
        <v>74</v>
      </c>
      <c r="Q146" s="20">
        <f t="shared" si="249"/>
        <v>5</v>
      </c>
      <c r="R146" s="2">
        <f t="shared" si="98"/>
        <v>7</v>
      </c>
      <c r="S146" s="20">
        <v>15</v>
      </c>
      <c r="T146" s="20">
        <v>12</v>
      </c>
      <c r="U146" s="21">
        <f t="shared" ref="U146" si="264">0.098*J144*M144*0.5*R146</f>
        <v>2.2164351299999998</v>
      </c>
      <c r="V146" s="21">
        <f t="shared" ref="V146" si="265">0.098*J144*M144*Q146</f>
        <v>3.1663358999999995</v>
      </c>
      <c r="W146" s="21">
        <f t="shared" ref="W146" si="266">0.098*J144*M144*(S146-T146)</f>
        <v>1.8998015399999999</v>
      </c>
      <c r="X146" s="85"/>
      <c r="Y146" s="83"/>
      <c r="Z146" s="101"/>
    </row>
    <row r="147" spans="1:27" x14ac:dyDescent="0.2">
      <c r="A147" s="107" t="s">
        <v>8</v>
      </c>
      <c r="B147" s="110" t="s">
        <v>3</v>
      </c>
      <c r="C147" s="110" t="s">
        <v>7</v>
      </c>
      <c r="D147" s="110" t="s">
        <v>9</v>
      </c>
      <c r="E147" s="71" t="s">
        <v>11</v>
      </c>
      <c r="F147" s="71" t="s">
        <v>10</v>
      </c>
      <c r="G147" s="71" t="s">
        <v>12</v>
      </c>
      <c r="H147" s="71" t="s">
        <v>32</v>
      </c>
      <c r="I147" s="74" t="s">
        <v>14</v>
      </c>
      <c r="J147" s="67" t="s">
        <v>31</v>
      </c>
      <c r="K147" s="67" t="s">
        <v>33</v>
      </c>
      <c r="L147" s="67" t="s">
        <v>17</v>
      </c>
      <c r="M147" s="67" t="s">
        <v>0</v>
      </c>
      <c r="N147" s="113" t="s">
        <v>16</v>
      </c>
      <c r="O147" s="4" t="s">
        <v>6</v>
      </c>
      <c r="P147" s="4" t="s">
        <v>34</v>
      </c>
      <c r="Q147" s="17" t="s">
        <v>2</v>
      </c>
      <c r="R147" s="17" t="s">
        <v>1</v>
      </c>
      <c r="S147" s="17" t="s">
        <v>25</v>
      </c>
      <c r="T147" s="17" t="s">
        <v>26</v>
      </c>
      <c r="U147" s="47" t="s">
        <v>20</v>
      </c>
      <c r="V147" s="18" t="s">
        <v>22</v>
      </c>
      <c r="W147" s="47" t="s">
        <v>24</v>
      </c>
      <c r="X147" s="77" t="s">
        <v>19</v>
      </c>
      <c r="Y147" s="79" t="s">
        <v>23</v>
      </c>
      <c r="Z147" s="125" t="s">
        <v>39</v>
      </c>
    </row>
    <row r="148" spans="1:27" x14ac:dyDescent="0.2">
      <c r="A148" s="108"/>
      <c r="B148" s="111"/>
      <c r="C148" s="111"/>
      <c r="D148" s="111"/>
      <c r="E148" s="72"/>
      <c r="F148" s="72"/>
      <c r="G148" s="72"/>
      <c r="H148" s="72"/>
      <c r="I148" s="75"/>
      <c r="J148" s="68"/>
      <c r="K148" s="68"/>
      <c r="L148" s="68"/>
      <c r="M148" s="68"/>
      <c r="N148" s="114"/>
      <c r="O148" s="34">
        <v>39</v>
      </c>
      <c r="P148" s="34">
        <v>78</v>
      </c>
      <c r="Q148" s="2">
        <v>15</v>
      </c>
      <c r="R148" s="2">
        <f>T148-Q148</f>
        <v>7</v>
      </c>
      <c r="S148" s="2">
        <v>28</v>
      </c>
      <c r="T148" s="2">
        <v>22</v>
      </c>
      <c r="U148" s="9">
        <f t="shared" ref="U148" si="267">0.098*J151*M151*0.5*R148</f>
        <v>3.0389937199999997</v>
      </c>
      <c r="V148" s="9">
        <f t="shared" ref="V148" si="268">0.098*J151*M151*Q148</f>
        <v>13.024258799999998</v>
      </c>
      <c r="W148" s="9">
        <f t="shared" ref="W148" si="269">0.098*J151*M151*(S148-T148)</f>
        <v>5.2097035199999997</v>
      </c>
      <c r="X148" s="78"/>
      <c r="Y148" s="80"/>
      <c r="Z148" s="125"/>
    </row>
    <row r="149" spans="1:27" x14ac:dyDescent="0.2">
      <c r="A149" s="108"/>
      <c r="B149" s="111"/>
      <c r="C149" s="111"/>
      <c r="D149" s="111"/>
      <c r="E149" s="72"/>
      <c r="F149" s="72"/>
      <c r="G149" s="72"/>
      <c r="H149" s="72"/>
      <c r="I149" s="75"/>
      <c r="J149" s="68"/>
      <c r="K149" s="68"/>
      <c r="L149" s="68"/>
      <c r="M149" s="68"/>
      <c r="N149" s="114"/>
      <c r="O149" s="34">
        <v>42</v>
      </c>
      <c r="P149" s="34">
        <v>57</v>
      </c>
      <c r="Q149" s="2">
        <f t="shared" ref="Q149:Q153" si="270">Q148-2</f>
        <v>13</v>
      </c>
      <c r="R149" s="2">
        <f t="shared" ref="R149:R160" si="271">T149-Q149</f>
        <v>6</v>
      </c>
      <c r="S149" s="2">
        <v>26</v>
      </c>
      <c r="T149" s="2">
        <v>19</v>
      </c>
      <c r="U149" s="9">
        <f t="shared" ref="U149" si="272">0.098*J151*M151*0.5*R149</f>
        <v>2.6048517599999998</v>
      </c>
      <c r="V149" s="9">
        <f t="shared" ref="V149" si="273">0.098*J151*M151*Q149</f>
        <v>11.287690959999999</v>
      </c>
      <c r="W149" s="9">
        <f t="shared" ref="W149" si="274">0.098*J151*M151*(S149-T149)</f>
        <v>6.0779874399999994</v>
      </c>
      <c r="X149" s="23">
        <v>0.625</v>
      </c>
      <c r="Y149" s="81" t="s">
        <v>37</v>
      </c>
      <c r="Z149" s="125"/>
    </row>
    <row r="150" spans="1:27" x14ac:dyDescent="0.2">
      <c r="A150" s="108"/>
      <c r="B150" s="111"/>
      <c r="C150" s="111"/>
      <c r="D150" s="111"/>
      <c r="E150" s="72"/>
      <c r="F150" s="72"/>
      <c r="G150" s="72"/>
      <c r="H150" s="72"/>
      <c r="I150" s="75"/>
      <c r="J150" s="69"/>
      <c r="K150" s="69"/>
      <c r="L150" s="69"/>
      <c r="M150" s="69"/>
      <c r="N150" s="114"/>
      <c r="O150" s="34">
        <v>43</v>
      </c>
      <c r="P150" s="34">
        <v>57</v>
      </c>
      <c r="Q150" s="2">
        <f t="shared" si="270"/>
        <v>11</v>
      </c>
      <c r="R150" s="2">
        <f t="shared" si="271"/>
        <v>7</v>
      </c>
      <c r="S150" s="2">
        <v>24</v>
      </c>
      <c r="T150" s="2">
        <v>18</v>
      </c>
      <c r="U150" s="9">
        <f t="shared" ref="U150" si="275">0.098*J151*M151*0.5*R150</f>
        <v>3.0389937199999997</v>
      </c>
      <c r="V150" s="9">
        <f t="shared" ref="V150" si="276">0.098*J151*M151*Q150</f>
        <v>9.551123119999998</v>
      </c>
      <c r="W150" s="9">
        <f t="shared" ref="W150" si="277">0.098*J151*M151*(S150-T150)</f>
        <v>5.2097035199999997</v>
      </c>
      <c r="X150" s="84"/>
      <c r="Y150" s="82"/>
      <c r="Z150" s="125"/>
    </row>
    <row r="151" spans="1:27" x14ac:dyDescent="0.2">
      <c r="A151" s="108"/>
      <c r="B151" s="111"/>
      <c r="C151" s="111"/>
      <c r="D151" s="111"/>
      <c r="E151" s="72"/>
      <c r="F151" s="72"/>
      <c r="G151" s="72"/>
      <c r="H151" s="72"/>
      <c r="I151" s="75"/>
      <c r="J151" s="86">
        <f>(7*F154)/1000</f>
        <v>0.44300199999999995</v>
      </c>
      <c r="K151" s="89">
        <v>42</v>
      </c>
      <c r="L151" s="92">
        <v>6</v>
      </c>
      <c r="M151" s="92">
        <v>20</v>
      </c>
      <c r="N151" s="114"/>
      <c r="O151" s="34">
        <v>41</v>
      </c>
      <c r="P151" s="34">
        <v>70</v>
      </c>
      <c r="Q151" s="2">
        <f t="shared" si="270"/>
        <v>9</v>
      </c>
      <c r="R151" s="2">
        <f t="shared" si="271"/>
        <v>8</v>
      </c>
      <c r="S151" s="2">
        <v>23</v>
      </c>
      <c r="T151" s="2">
        <v>17</v>
      </c>
      <c r="U151" s="9">
        <f t="shared" ref="U151" si="278">0.098*J151*M151*0.5*R151</f>
        <v>3.4731356799999995</v>
      </c>
      <c r="V151" s="9">
        <f t="shared" ref="V151" si="279">0.098*J151*M151*Q151</f>
        <v>7.8145552799999987</v>
      </c>
      <c r="W151" s="9">
        <f t="shared" ref="W151" si="280">0.098*J151*M151*(S151-T151)</f>
        <v>5.2097035199999997</v>
      </c>
      <c r="X151" s="84"/>
      <c r="Y151" s="82"/>
      <c r="Z151" s="66">
        <f t="shared" ref="Z151" si="281">_xlfn.STDEV.S(R148:R153)</f>
        <v>1.4719601443879733</v>
      </c>
    </row>
    <row r="152" spans="1:27" x14ac:dyDescent="0.2">
      <c r="A152" s="108"/>
      <c r="B152" s="111"/>
      <c r="C152" s="111"/>
      <c r="D152" s="111"/>
      <c r="E152" s="72"/>
      <c r="F152" s="72"/>
      <c r="G152" s="72"/>
      <c r="H152" s="72"/>
      <c r="I152" s="75"/>
      <c r="J152" s="87"/>
      <c r="K152" s="90"/>
      <c r="L152" s="93"/>
      <c r="M152" s="93"/>
      <c r="N152" s="114"/>
      <c r="O152" s="34">
        <v>41</v>
      </c>
      <c r="P152" s="34">
        <v>60</v>
      </c>
      <c r="Q152" s="2">
        <f t="shared" si="270"/>
        <v>7</v>
      </c>
      <c r="R152" s="2">
        <f t="shared" si="271"/>
        <v>9</v>
      </c>
      <c r="S152" s="2">
        <v>22</v>
      </c>
      <c r="T152" s="2">
        <v>16</v>
      </c>
      <c r="U152" s="9">
        <f t="shared" ref="U152" si="282">0.098*J151*M151*0.5*R152</f>
        <v>3.9072776399999993</v>
      </c>
      <c r="V152" s="9">
        <f t="shared" ref="V152" si="283">0.098*J151*M151*Q152</f>
        <v>6.0779874399999994</v>
      </c>
      <c r="W152" s="9">
        <f t="shared" ref="W152" si="284">0.098*J151*M151*(S152-T152)</f>
        <v>5.2097035199999997</v>
      </c>
      <c r="X152" s="84"/>
      <c r="Y152" s="82"/>
      <c r="Z152" s="66"/>
    </row>
    <row r="153" spans="1:27" ht="17" thickBot="1" x14ac:dyDescent="0.25">
      <c r="A153" s="109"/>
      <c r="B153" s="112"/>
      <c r="C153" s="112"/>
      <c r="D153" s="112"/>
      <c r="E153" s="73"/>
      <c r="F153" s="73"/>
      <c r="G153" s="73"/>
      <c r="H153" s="73"/>
      <c r="I153" s="76"/>
      <c r="J153" s="97"/>
      <c r="K153" s="96"/>
      <c r="L153" s="95"/>
      <c r="M153" s="95"/>
      <c r="N153" s="114"/>
      <c r="O153" s="34">
        <v>41</v>
      </c>
      <c r="P153" s="34">
        <v>58</v>
      </c>
      <c r="Q153" s="2">
        <f t="shared" si="270"/>
        <v>5</v>
      </c>
      <c r="R153" s="2">
        <f t="shared" si="271"/>
        <v>10</v>
      </c>
      <c r="S153" s="2">
        <v>22</v>
      </c>
      <c r="T153" s="2">
        <v>15</v>
      </c>
      <c r="U153" s="9">
        <f t="shared" ref="U153" si="285">0.098*J151*M151*0.5*R153</f>
        <v>4.3414195999999992</v>
      </c>
      <c r="V153" s="9">
        <f t="shared" ref="V153" si="286">0.098*J151*M151*Q153</f>
        <v>4.3414195999999992</v>
      </c>
      <c r="W153" s="9">
        <f t="shared" ref="W153" si="287">0.098*J151*M151*(S153-T153)</f>
        <v>6.0779874399999994</v>
      </c>
      <c r="X153" s="84"/>
      <c r="Y153" s="82"/>
      <c r="Z153" s="66"/>
      <c r="AA153" t="s">
        <v>41</v>
      </c>
    </row>
    <row r="154" spans="1:27" x14ac:dyDescent="0.2">
      <c r="A154" s="19">
        <f t="shared" ref="A154" si="288">A140+1</f>
        <v>10</v>
      </c>
      <c r="B154" s="3" t="s">
        <v>5</v>
      </c>
      <c r="C154" s="3">
        <v>35</v>
      </c>
      <c r="D154" s="3">
        <v>167</v>
      </c>
      <c r="E154" s="3">
        <v>130</v>
      </c>
      <c r="F154" s="3">
        <f>IF(B154="M", 50 + 0.91*(D154-152.4), IF(B154="F", 45.5 + 0.91*(D154-152.4), ""))</f>
        <v>63.285999999999994</v>
      </c>
      <c r="G154" s="3">
        <v>69</v>
      </c>
      <c r="H154" s="3">
        <f t="shared" ref="H154" si="289">E154/(D154*10^-2)^2</f>
        <v>46.613360106135033</v>
      </c>
      <c r="I154" s="116" t="s">
        <v>15</v>
      </c>
      <c r="J154" s="70" t="s">
        <v>31</v>
      </c>
      <c r="K154" s="70" t="s">
        <v>33</v>
      </c>
      <c r="L154" s="70" t="s">
        <v>17</v>
      </c>
      <c r="M154" s="70" t="s">
        <v>0</v>
      </c>
      <c r="N154" s="114"/>
      <c r="O154" s="4" t="s">
        <v>6</v>
      </c>
      <c r="P154" s="4" t="s">
        <v>34</v>
      </c>
      <c r="Q154" s="6" t="s">
        <v>2</v>
      </c>
      <c r="R154" s="17" t="s">
        <v>1</v>
      </c>
      <c r="S154" s="17" t="s">
        <v>25</v>
      </c>
      <c r="T154" s="17" t="s">
        <v>26</v>
      </c>
      <c r="U154" s="31" t="s">
        <v>21</v>
      </c>
      <c r="V154" s="7" t="s">
        <v>22</v>
      </c>
      <c r="W154" s="31" t="s">
        <v>24</v>
      </c>
      <c r="X154" s="84"/>
      <c r="Y154" s="82"/>
      <c r="Z154" s="125" t="s">
        <v>39</v>
      </c>
      <c r="AA154" t="s">
        <v>42</v>
      </c>
    </row>
    <row r="155" spans="1:27" x14ac:dyDescent="0.2">
      <c r="A155" s="98"/>
      <c r="B155" s="99"/>
      <c r="C155" s="99"/>
      <c r="D155" s="99"/>
      <c r="E155" s="99"/>
      <c r="F155" s="99"/>
      <c r="G155" s="99"/>
      <c r="H155" s="100"/>
      <c r="I155" s="75"/>
      <c r="J155" s="68"/>
      <c r="K155" s="68"/>
      <c r="L155" s="68"/>
      <c r="M155" s="68"/>
      <c r="N155" s="114"/>
      <c r="O155" s="34">
        <v>40</v>
      </c>
      <c r="P155" s="34">
        <v>52</v>
      </c>
      <c r="Q155" s="2">
        <v>15</v>
      </c>
      <c r="R155" s="2">
        <f t="shared" si="271"/>
        <v>10</v>
      </c>
      <c r="S155" s="2">
        <v>34</v>
      </c>
      <c r="T155" s="2">
        <v>25</v>
      </c>
      <c r="U155" s="10">
        <f t="shared" ref="U155" si="290">0.098*J158*M158*0.5*R155</f>
        <v>5.581825199999999</v>
      </c>
      <c r="V155" s="10">
        <f t="shared" ref="V155" si="291">0.098*J158*M158*Q155</f>
        <v>16.745475599999999</v>
      </c>
      <c r="W155" s="10">
        <f t="shared" ref="W155" si="292">0.098*J158*M158*(S155-T155)</f>
        <v>10.047285359999998</v>
      </c>
      <c r="X155" s="84"/>
      <c r="Y155" s="82"/>
      <c r="Z155" s="125"/>
    </row>
    <row r="156" spans="1:27" x14ac:dyDescent="0.2">
      <c r="A156" s="101"/>
      <c r="B156" s="102"/>
      <c r="C156" s="102"/>
      <c r="D156" s="102"/>
      <c r="E156" s="102"/>
      <c r="F156" s="102"/>
      <c r="G156" s="102"/>
      <c r="H156" s="103"/>
      <c r="I156" s="75"/>
      <c r="J156" s="68"/>
      <c r="K156" s="68"/>
      <c r="L156" s="68"/>
      <c r="M156" s="68"/>
      <c r="N156" s="114"/>
      <c r="O156" s="34">
        <v>42</v>
      </c>
      <c r="P156" s="34">
        <v>57</v>
      </c>
      <c r="Q156" s="2">
        <f t="shared" ref="Q156:Q160" si="293">Q155-2</f>
        <v>13</v>
      </c>
      <c r="R156" s="2">
        <f t="shared" si="271"/>
        <v>8</v>
      </c>
      <c r="S156" s="2">
        <v>31</v>
      </c>
      <c r="T156" s="2">
        <v>21</v>
      </c>
      <c r="U156" s="10">
        <f t="shared" ref="U156" si="294">0.098*J158*M158*0.5*R156</f>
        <v>4.4654601599999992</v>
      </c>
      <c r="V156" s="10">
        <f t="shared" ref="V156" si="295">0.098*J158*M158*Q156</f>
        <v>14.512745519999998</v>
      </c>
      <c r="W156" s="10">
        <f t="shared" ref="W156" si="296">0.098*J158*M158*(S156-T156)</f>
        <v>11.163650399999998</v>
      </c>
      <c r="X156" s="84"/>
      <c r="Y156" s="82"/>
      <c r="Z156" s="125"/>
    </row>
    <row r="157" spans="1:27" x14ac:dyDescent="0.2">
      <c r="A157" s="101"/>
      <c r="B157" s="102"/>
      <c r="C157" s="102"/>
      <c r="D157" s="102"/>
      <c r="E157" s="102"/>
      <c r="F157" s="102"/>
      <c r="G157" s="102"/>
      <c r="H157" s="103"/>
      <c r="I157" s="75"/>
      <c r="J157" s="69"/>
      <c r="K157" s="69"/>
      <c r="L157" s="69"/>
      <c r="M157" s="69"/>
      <c r="N157" s="114"/>
      <c r="O157" s="34">
        <v>40</v>
      </c>
      <c r="P157" s="34">
        <v>57</v>
      </c>
      <c r="Q157" s="2">
        <f t="shared" si="293"/>
        <v>11</v>
      </c>
      <c r="R157" s="2">
        <f t="shared" si="271"/>
        <v>10</v>
      </c>
      <c r="S157" s="2">
        <v>30</v>
      </c>
      <c r="T157" s="2">
        <v>21</v>
      </c>
      <c r="U157" s="10">
        <f t="shared" ref="U157" si="297">0.098*J158*M158*0.5*R157</f>
        <v>5.581825199999999</v>
      </c>
      <c r="V157" s="10">
        <f t="shared" ref="V157" si="298">0.098*J158*M158*Q157</f>
        <v>12.280015439999998</v>
      </c>
      <c r="W157" s="10">
        <f t="shared" ref="W157" si="299">0.098*J158*M158*(S157-T157)</f>
        <v>10.047285359999998</v>
      </c>
      <c r="X157" s="84"/>
      <c r="Y157" s="82"/>
      <c r="Z157" s="125"/>
    </row>
    <row r="158" spans="1:27" x14ac:dyDescent="0.2">
      <c r="A158" s="101"/>
      <c r="B158" s="102"/>
      <c r="C158" s="102"/>
      <c r="D158" s="102"/>
      <c r="E158" s="102"/>
      <c r="F158" s="102"/>
      <c r="G158" s="102"/>
      <c r="H158" s="103"/>
      <c r="I158" s="75"/>
      <c r="J158" s="86">
        <f>(9*F154)/1000</f>
        <v>0.56957399999999991</v>
      </c>
      <c r="K158" s="89">
        <v>40</v>
      </c>
      <c r="L158" s="92">
        <v>10</v>
      </c>
      <c r="M158" s="92">
        <v>20</v>
      </c>
      <c r="N158" s="114"/>
      <c r="O158" s="34">
        <v>40</v>
      </c>
      <c r="P158" s="34">
        <v>57</v>
      </c>
      <c r="Q158" s="2">
        <f t="shared" si="293"/>
        <v>9</v>
      </c>
      <c r="R158" s="2">
        <f t="shared" si="271"/>
        <v>10</v>
      </c>
      <c r="S158" s="2">
        <v>27</v>
      </c>
      <c r="T158" s="2">
        <v>19</v>
      </c>
      <c r="U158" s="10">
        <f t="shared" ref="U158" si="300">0.098*J158*M158*0.5*R158</f>
        <v>5.581825199999999</v>
      </c>
      <c r="V158" s="10">
        <f t="shared" ref="V158" si="301">0.098*J158*M158*Q158</f>
        <v>10.047285359999998</v>
      </c>
      <c r="W158" s="10">
        <f t="shared" ref="W158" si="302">0.098*J158*M158*(S158-T158)</f>
        <v>8.9309203199999985</v>
      </c>
      <c r="X158" s="84"/>
      <c r="Y158" s="82"/>
      <c r="Z158" s="101">
        <f t="shared" ref="Z158" si="303">_xlfn.STDEV.S(R155:R160)</f>
        <v>1.3291601358251286</v>
      </c>
    </row>
    <row r="159" spans="1:27" x14ac:dyDescent="0.2">
      <c r="A159" s="101"/>
      <c r="B159" s="102"/>
      <c r="C159" s="102"/>
      <c r="D159" s="102"/>
      <c r="E159" s="102"/>
      <c r="F159" s="102"/>
      <c r="G159" s="102"/>
      <c r="H159" s="103"/>
      <c r="I159" s="75"/>
      <c r="J159" s="87"/>
      <c r="K159" s="90"/>
      <c r="L159" s="93"/>
      <c r="M159" s="93"/>
      <c r="N159" s="114"/>
      <c r="O159" s="34">
        <v>40</v>
      </c>
      <c r="P159" s="34">
        <v>56</v>
      </c>
      <c r="Q159" s="2">
        <f t="shared" si="293"/>
        <v>7</v>
      </c>
      <c r="R159" s="2">
        <f t="shared" si="271"/>
        <v>11</v>
      </c>
      <c r="S159" s="2">
        <v>25</v>
      </c>
      <c r="T159" s="2">
        <v>18</v>
      </c>
      <c r="U159" s="10">
        <f t="shared" ref="U159" si="304">0.098*J158*M158*0.5*R159</f>
        <v>6.1400077199999989</v>
      </c>
      <c r="V159" s="10">
        <f t="shared" ref="V159" si="305">0.098*J158*M158*Q159</f>
        <v>7.8145552799999987</v>
      </c>
      <c r="W159" s="10">
        <f t="shared" ref="W159" si="306">0.098*J158*M158*(S159-T159)</f>
        <v>7.8145552799999987</v>
      </c>
      <c r="X159" s="84"/>
      <c r="Y159" s="82"/>
      <c r="Z159" s="101"/>
    </row>
    <row r="160" spans="1:27" ht="17" thickBot="1" x14ac:dyDescent="0.25">
      <c r="A160" s="104"/>
      <c r="B160" s="105"/>
      <c r="C160" s="105"/>
      <c r="D160" s="105"/>
      <c r="E160" s="105"/>
      <c r="F160" s="105"/>
      <c r="G160" s="105"/>
      <c r="H160" s="106"/>
      <c r="I160" s="117"/>
      <c r="J160" s="88"/>
      <c r="K160" s="91"/>
      <c r="L160" s="94"/>
      <c r="M160" s="94"/>
      <c r="N160" s="115"/>
      <c r="O160" s="35">
        <v>38</v>
      </c>
      <c r="P160" s="35">
        <v>56</v>
      </c>
      <c r="Q160" s="20">
        <f t="shared" si="293"/>
        <v>5</v>
      </c>
      <c r="R160" s="2">
        <f t="shared" si="271"/>
        <v>12</v>
      </c>
      <c r="S160" s="20">
        <v>25</v>
      </c>
      <c r="T160" s="20">
        <v>17</v>
      </c>
      <c r="U160" s="21">
        <f t="shared" ref="U160" si="307">0.098*J158*M158*0.5*R160</f>
        <v>6.6981902399999989</v>
      </c>
      <c r="V160" s="21">
        <f t="shared" ref="V160" si="308">0.098*J158*M158*Q160</f>
        <v>5.581825199999999</v>
      </c>
      <c r="W160" s="21">
        <f t="shared" ref="W160" si="309">0.098*J158*M158*(S160-T160)</f>
        <v>8.9309203199999985</v>
      </c>
      <c r="X160" s="85"/>
      <c r="Y160" s="83"/>
      <c r="Z160" s="101"/>
    </row>
    <row r="161" spans="1:27" x14ac:dyDescent="0.2">
      <c r="A161" s="107" t="s">
        <v>8</v>
      </c>
      <c r="B161" s="110" t="s">
        <v>3</v>
      </c>
      <c r="C161" s="110" t="s">
        <v>7</v>
      </c>
      <c r="D161" s="110" t="s">
        <v>9</v>
      </c>
      <c r="E161" s="71" t="s">
        <v>11</v>
      </c>
      <c r="F161" s="71" t="s">
        <v>10</v>
      </c>
      <c r="G161" s="71" t="s">
        <v>12</v>
      </c>
      <c r="H161" s="71" t="s">
        <v>32</v>
      </c>
      <c r="I161" s="74" t="s">
        <v>14</v>
      </c>
      <c r="J161" s="67" t="s">
        <v>31</v>
      </c>
      <c r="K161" s="67" t="s">
        <v>33</v>
      </c>
      <c r="L161" s="67" t="s">
        <v>17</v>
      </c>
      <c r="M161" s="67" t="s">
        <v>0</v>
      </c>
      <c r="N161" s="113" t="s">
        <v>16</v>
      </c>
      <c r="O161" s="4" t="s">
        <v>6</v>
      </c>
      <c r="P161" s="4" t="s">
        <v>34</v>
      </c>
      <c r="Q161" s="17" t="s">
        <v>2</v>
      </c>
      <c r="R161" s="17" t="s">
        <v>1</v>
      </c>
      <c r="S161" s="17" t="s">
        <v>25</v>
      </c>
      <c r="T161" s="17" t="s">
        <v>26</v>
      </c>
      <c r="U161" s="18" t="s">
        <v>20</v>
      </c>
      <c r="V161" s="18" t="s">
        <v>22</v>
      </c>
      <c r="W161" s="47" t="s">
        <v>24</v>
      </c>
      <c r="X161" s="77" t="s">
        <v>19</v>
      </c>
      <c r="Y161" s="79" t="s">
        <v>23</v>
      </c>
      <c r="Z161" s="125" t="s">
        <v>39</v>
      </c>
    </row>
    <row r="162" spans="1:27" x14ac:dyDescent="0.2">
      <c r="A162" s="108"/>
      <c r="B162" s="111"/>
      <c r="C162" s="111"/>
      <c r="D162" s="111"/>
      <c r="E162" s="72"/>
      <c r="F162" s="72"/>
      <c r="G162" s="72"/>
      <c r="H162" s="72"/>
      <c r="I162" s="75"/>
      <c r="J162" s="68"/>
      <c r="K162" s="68"/>
      <c r="L162" s="68"/>
      <c r="M162" s="68"/>
      <c r="N162" s="114"/>
      <c r="O162" s="34">
        <v>38</v>
      </c>
      <c r="P162" s="34">
        <v>74</v>
      </c>
      <c r="Q162" s="2">
        <v>15</v>
      </c>
      <c r="R162" s="2">
        <f>T162-Q162</f>
        <v>7</v>
      </c>
      <c r="S162" s="2">
        <v>24</v>
      </c>
      <c r="T162" s="2">
        <v>22</v>
      </c>
      <c r="U162" s="9">
        <f t="shared" ref="U162" si="310">0.098*J165*M165*0.5*R162</f>
        <v>2.1473295480000001</v>
      </c>
      <c r="V162" s="9">
        <f t="shared" ref="V162" si="311">0.098*J165*M165*Q162</f>
        <v>9.2028409199999999</v>
      </c>
      <c r="W162" s="9">
        <f t="shared" ref="W162" si="312">0.098*J165*M165*(S162-T162)</f>
        <v>1.2270454559999999</v>
      </c>
      <c r="X162" s="78"/>
      <c r="Y162" s="80"/>
      <c r="Z162" s="125"/>
    </row>
    <row r="163" spans="1:27" x14ac:dyDescent="0.2">
      <c r="A163" s="108"/>
      <c r="B163" s="111"/>
      <c r="C163" s="111"/>
      <c r="D163" s="111"/>
      <c r="E163" s="72"/>
      <c r="F163" s="72"/>
      <c r="G163" s="72"/>
      <c r="H163" s="72"/>
      <c r="I163" s="75"/>
      <c r="J163" s="68"/>
      <c r="K163" s="68"/>
      <c r="L163" s="68"/>
      <c r="M163" s="68"/>
      <c r="N163" s="114"/>
      <c r="O163" s="34">
        <v>38</v>
      </c>
      <c r="P163" s="34">
        <v>76</v>
      </c>
      <c r="Q163" s="2">
        <f t="shared" ref="Q163:Q167" si="313">Q162-2</f>
        <v>13</v>
      </c>
      <c r="R163" s="2">
        <f t="shared" ref="R163:R167" si="314">T163-Q163</f>
        <v>5</v>
      </c>
      <c r="S163" s="2">
        <v>21</v>
      </c>
      <c r="T163" s="2">
        <v>18</v>
      </c>
      <c r="U163" s="9">
        <f t="shared" ref="U163" si="315">0.098*J165*M165*0.5*R163</f>
        <v>1.5338068199999999</v>
      </c>
      <c r="V163" s="9">
        <f t="shared" ref="V163" si="316">0.098*J165*M165*Q163</f>
        <v>7.9757954639999991</v>
      </c>
      <c r="W163" s="9">
        <f t="shared" ref="W163" si="317">0.098*J165*M165*(S163-T163)</f>
        <v>1.8405681839999999</v>
      </c>
      <c r="X163" s="23">
        <v>0.875</v>
      </c>
      <c r="Y163" s="81" t="s">
        <v>38</v>
      </c>
      <c r="Z163" s="125"/>
    </row>
    <row r="164" spans="1:27" x14ac:dyDescent="0.2">
      <c r="A164" s="108"/>
      <c r="B164" s="111"/>
      <c r="C164" s="111"/>
      <c r="D164" s="111"/>
      <c r="E164" s="72"/>
      <c r="F164" s="72"/>
      <c r="G164" s="72"/>
      <c r="H164" s="72"/>
      <c r="I164" s="75"/>
      <c r="J164" s="69"/>
      <c r="K164" s="69"/>
      <c r="L164" s="69"/>
      <c r="M164" s="69"/>
      <c r="N164" s="114"/>
      <c r="O164" s="34">
        <v>39</v>
      </c>
      <c r="P164" s="34">
        <v>66</v>
      </c>
      <c r="Q164" s="2">
        <f t="shared" si="313"/>
        <v>11</v>
      </c>
      <c r="R164" s="2">
        <f t="shared" si="314"/>
        <v>6</v>
      </c>
      <c r="S164" s="2">
        <v>19</v>
      </c>
      <c r="T164" s="2">
        <v>17</v>
      </c>
      <c r="U164" s="9">
        <f t="shared" ref="U164" si="318">0.098*J165*M165*0.5*R164</f>
        <v>1.8405681839999999</v>
      </c>
      <c r="V164" s="9">
        <f t="shared" ref="V164" si="319">0.098*J165*M165*Q164</f>
        <v>6.748750008</v>
      </c>
      <c r="W164" s="9">
        <f t="shared" ref="W164" si="320">0.098*J165*M165*(S164-T164)</f>
        <v>1.2270454559999999</v>
      </c>
      <c r="X164" s="84"/>
      <c r="Y164" s="82"/>
      <c r="Z164" s="125"/>
    </row>
    <row r="165" spans="1:27" x14ac:dyDescent="0.2">
      <c r="A165" s="108"/>
      <c r="B165" s="111"/>
      <c r="C165" s="111"/>
      <c r="D165" s="111"/>
      <c r="E165" s="72"/>
      <c r="F165" s="72"/>
      <c r="G165" s="72"/>
      <c r="H165" s="72"/>
      <c r="I165" s="75"/>
      <c r="J165" s="86">
        <f>(7*F168)/1000</f>
        <v>0.48157199999999994</v>
      </c>
      <c r="K165" s="89">
        <v>38</v>
      </c>
      <c r="L165" s="92">
        <v>9</v>
      </c>
      <c r="M165" s="92">
        <v>13</v>
      </c>
      <c r="N165" s="114"/>
      <c r="O165" s="34">
        <v>40</v>
      </c>
      <c r="P165" s="34">
        <v>66</v>
      </c>
      <c r="Q165" s="2">
        <f t="shared" si="313"/>
        <v>9</v>
      </c>
      <c r="R165" s="2">
        <f t="shared" si="314"/>
        <v>6</v>
      </c>
      <c r="S165" s="2">
        <v>17</v>
      </c>
      <c r="T165" s="2">
        <v>15</v>
      </c>
      <c r="U165" s="9">
        <f t="shared" ref="U165" si="321">0.098*J165*M165*0.5*R165</f>
        <v>1.8405681839999999</v>
      </c>
      <c r="V165" s="9">
        <f t="shared" ref="V165" si="322">0.098*J165*M165*Q165</f>
        <v>5.5217045519999992</v>
      </c>
      <c r="W165" s="9">
        <f t="shared" ref="W165" si="323">0.098*J165*M165*(S165-T165)</f>
        <v>1.2270454559999999</v>
      </c>
      <c r="X165" s="84"/>
      <c r="Y165" s="82"/>
      <c r="Z165" s="66">
        <f t="shared" ref="Z165" si="324">_xlfn.STDEV.S(R162:R167)</f>
        <v>0.75277265270908222</v>
      </c>
    </row>
    <row r="166" spans="1:27" x14ac:dyDescent="0.2">
      <c r="A166" s="108"/>
      <c r="B166" s="111"/>
      <c r="C166" s="111"/>
      <c r="D166" s="111"/>
      <c r="E166" s="72"/>
      <c r="F166" s="72"/>
      <c r="G166" s="72"/>
      <c r="H166" s="72"/>
      <c r="I166" s="75"/>
      <c r="J166" s="87"/>
      <c r="K166" s="90"/>
      <c r="L166" s="93"/>
      <c r="M166" s="93"/>
      <c r="N166" s="114"/>
      <c r="O166" s="34">
        <v>40</v>
      </c>
      <c r="P166" s="34">
        <v>70</v>
      </c>
      <c r="Q166" s="2">
        <f t="shared" si="313"/>
        <v>7</v>
      </c>
      <c r="R166" s="2">
        <f t="shared" si="314"/>
        <v>6</v>
      </c>
      <c r="S166" s="2">
        <v>16</v>
      </c>
      <c r="T166" s="2">
        <v>13</v>
      </c>
      <c r="U166" s="9">
        <f t="shared" ref="U166" si="325">0.098*J165*M165*0.5*R166</f>
        <v>1.8405681839999999</v>
      </c>
      <c r="V166" s="9">
        <f t="shared" ref="V166" si="326">0.098*J165*M165*Q166</f>
        <v>4.2946590960000002</v>
      </c>
      <c r="W166" s="9">
        <f t="shared" ref="W166" si="327">0.098*J165*M165*(S166-T166)</f>
        <v>1.8405681839999999</v>
      </c>
      <c r="X166" s="84"/>
      <c r="Y166" s="82"/>
      <c r="Z166" s="66"/>
    </row>
    <row r="167" spans="1:27" ht="17" thickBot="1" x14ac:dyDescent="0.25">
      <c r="A167" s="109"/>
      <c r="B167" s="112"/>
      <c r="C167" s="112"/>
      <c r="D167" s="112"/>
      <c r="E167" s="73"/>
      <c r="F167" s="73"/>
      <c r="G167" s="73"/>
      <c r="H167" s="73"/>
      <c r="I167" s="76"/>
      <c r="J167" s="97"/>
      <c r="K167" s="96"/>
      <c r="L167" s="95"/>
      <c r="M167" s="95"/>
      <c r="N167" s="114"/>
      <c r="O167" s="34">
        <v>40</v>
      </c>
      <c r="P167" s="34">
        <v>67</v>
      </c>
      <c r="Q167" s="2">
        <f t="shared" si="313"/>
        <v>5</v>
      </c>
      <c r="R167" s="2">
        <f t="shared" si="314"/>
        <v>7</v>
      </c>
      <c r="S167" s="2">
        <v>14</v>
      </c>
      <c r="T167" s="2">
        <v>12</v>
      </c>
      <c r="U167" s="9">
        <f t="shared" ref="U167" si="328">0.098*J165*M165*0.5*R167</f>
        <v>2.1473295480000001</v>
      </c>
      <c r="V167" s="9">
        <f t="shared" ref="V167" si="329">0.098*J165*M165*Q167</f>
        <v>3.0676136399999998</v>
      </c>
      <c r="W167" s="9">
        <f t="shared" ref="W167" si="330">0.098*J165*M165*(S167-T167)</f>
        <v>1.2270454559999999</v>
      </c>
      <c r="X167" s="84"/>
      <c r="Y167" s="82"/>
      <c r="Z167" s="66"/>
      <c r="AA167" t="s">
        <v>41</v>
      </c>
    </row>
    <row r="168" spans="1:27" x14ac:dyDescent="0.2">
      <c r="A168" s="19">
        <f t="shared" ref="A168" si="331">A154+1</f>
        <v>11</v>
      </c>
      <c r="B168" s="3" t="s">
        <v>4</v>
      </c>
      <c r="C168" s="3">
        <v>26</v>
      </c>
      <c r="D168" s="3">
        <v>178</v>
      </c>
      <c r="E168" s="3">
        <v>140</v>
      </c>
      <c r="F168" s="3">
        <f>IF(B168="M", 50 + 0.91*(D168-152.4), IF(B168="F", 45.5 + 0.91*(D168-152.4), ""))</f>
        <v>68.795999999999992</v>
      </c>
      <c r="G168" s="3">
        <v>111</v>
      </c>
      <c r="H168" s="3">
        <f t="shared" ref="H168" si="332">E168/(D168*10^-2)^2</f>
        <v>44.186340108572146</v>
      </c>
      <c r="I168" s="116" t="s">
        <v>15</v>
      </c>
      <c r="J168" s="70" t="s">
        <v>31</v>
      </c>
      <c r="K168" s="70" t="s">
        <v>33</v>
      </c>
      <c r="L168" s="70" t="s">
        <v>17</v>
      </c>
      <c r="M168" s="70" t="s">
        <v>0</v>
      </c>
      <c r="N168" s="114"/>
      <c r="O168" s="4" t="s">
        <v>6</v>
      </c>
      <c r="P168" s="4" t="s">
        <v>34</v>
      </c>
      <c r="Q168" s="6" t="s">
        <v>2</v>
      </c>
      <c r="R168" s="17" t="s">
        <v>1</v>
      </c>
      <c r="S168" s="17" t="s">
        <v>25</v>
      </c>
      <c r="T168" s="17" t="s">
        <v>26</v>
      </c>
      <c r="U168" s="7" t="s">
        <v>21</v>
      </c>
      <c r="V168" s="7" t="s">
        <v>22</v>
      </c>
      <c r="W168" s="31" t="s">
        <v>24</v>
      </c>
      <c r="X168" s="84"/>
      <c r="Y168" s="82"/>
      <c r="Z168" s="125" t="s">
        <v>39</v>
      </c>
      <c r="AA168" t="s">
        <v>42</v>
      </c>
    </row>
    <row r="169" spans="1:27" x14ac:dyDescent="0.2">
      <c r="A169" s="98"/>
      <c r="B169" s="99"/>
      <c r="C169" s="99"/>
      <c r="D169" s="99"/>
      <c r="E169" s="99"/>
      <c r="F169" s="99"/>
      <c r="G169" s="99"/>
      <c r="H169" s="100"/>
      <c r="I169" s="75"/>
      <c r="J169" s="68"/>
      <c r="K169" s="68"/>
      <c r="L169" s="68"/>
      <c r="M169" s="68"/>
      <c r="N169" s="114"/>
      <c r="O169" s="34">
        <v>38</v>
      </c>
      <c r="P169" s="34">
        <v>68</v>
      </c>
      <c r="Q169" s="2">
        <v>15</v>
      </c>
      <c r="R169" s="2">
        <f t="shared" ref="R169:R174" si="333">T169-Q169</f>
        <v>8</v>
      </c>
      <c r="S169" s="2">
        <v>26</v>
      </c>
      <c r="T169" s="2">
        <v>23</v>
      </c>
      <c r="U169" s="10">
        <f t="shared" ref="U169" si="334">0.098*J172*M172*0.5*R169</f>
        <v>2.4271228799999998</v>
      </c>
      <c r="V169" s="10">
        <f t="shared" ref="V169" si="335">0.098*J172*M172*Q169</f>
        <v>9.1017107999999993</v>
      </c>
      <c r="W169" s="10">
        <f t="shared" ref="W169" si="336">0.098*J172*M172*(S169-T169)</f>
        <v>1.8203421599999998</v>
      </c>
      <c r="X169" s="84"/>
      <c r="Y169" s="82"/>
      <c r="Z169" s="125"/>
    </row>
    <row r="170" spans="1:27" x14ac:dyDescent="0.2">
      <c r="A170" s="101"/>
      <c r="B170" s="102"/>
      <c r="C170" s="102"/>
      <c r="D170" s="102"/>
      <c r="E170" s="102"/>
      <c r="F170" s="102"/>
      <c r="G170" s="102"/>
      <c r="H170" s="103"/>
      <c r="I170" s="75"/>
      <c r="J170" s="68"/>
      <c r="K170" s="68"/>
      <c r="L170" s="68"/>
      <c r="M170" s="68"/>
      <c r="N170" s="114"/>
      <c r="O170" s="34">
        <v>38</v>
      </c>
      <c r="P170" s="34">
        <v>66</v>
      </c>
      <c r="Q170" s="2">
        <f t="shared" ref="Q170:Q174" si="337">Q169-2</f>
        <v>13</v>
      </c>
      <c r="R170" s="2">
        <f t="shared" si="333"/>
        <v>8</v>
      </c>
      <c r="S170" s="2">
        <v>24</v>
      </c>
      <c r="T170" s="2">
        <v>21</v>
      </c>
      <c r="U170" s="10">
        <f t="shared" ref="U170" si="338">0.098*J172*M172*0.5*R170</f>
        <v>2.4271228799999998</v>
      </c>
      <c r="V170" s="10">
        <f t="shared" ref="V170" si="339">0.098*J172*M172*Q170</f>
        <v>7.888149359999999</v>
      </c>
      <c r="W170" s="10">
        <f t="shared" ref="W170" si="340">0.098*J172*M172*(S170-T170)</f>
        <v>1.8203421599999998</v>
      </c>
      <c r="X170" s="84"/>
      <c r="Y170" s="82"/>
      <c r="Z170" s="125"/>
    </row>
    <row r="171" spans="1:27" x14ac:dyDescent="0.2">
      <c r="A171" s="101"/>
      <c r="B171" s="102"/>
      <c r="C171" s="102"/>
      <c r="D171" s="102"/>
      <c r="E171" s="102"/>
      <c r="F171" s="102"/>
      <c r="G171" s="102"/>
      <c r="H171" s="103"/>
      <c r="I171" s="75"/>
      <c r="J171" s="69"/>
      <c r="K171" s="69"/>
      <c r="L171" s="69"/>
      <c r="M171" s="69"/>
      <c r="N171" s="114"/>
      <c r="O171" s="34">
        <v>38</v>
      </c>
      <c r="P171" s="34">
        <v>66</v>
      </c>
      <c r="Q171" s="2">
        <f t="shared" si="337"/>
        <v>11</v>
      </c>
      <c r="R171" s="2">
        <f t="shared" si="333"/>
        <v>8</v>
      </c>
      <c r="S171" s="2">
        <v>22</v>
      </c>
      <c r="T171" s="2">
        <v>19</v>
      </c>
      <c r="U171" s="10">
        <f t="shared" ref="U171" si="341">0.098*J172*M172*0.5*R171</f>
        <v>2.4271228799999998</v>
      </c>
      <c r="V171" s="10">
        <f t="shared" ref="V171" si="342">0.098*J172*M172*Q171</f>
        <v>6.6745879199999996</v>
      </c>
      <c r="W171" s="10">
        <f t="shared" ref="W171" si="343">0.098*J172*M172*(S171-T171)</f>
        <v>1.8203421599999998</v>
      </c>
      <c r="X171" s="84"/>
      <c r="Y171" s="82"/>
      <c r="Z171" s="125"/>
    </row>
    <row r="172" spans="1:27" x14ac:dyDescent="0.2">
      <c r="A172" s="101"/>
      <c r="B172" s="102"/>
      <c r="C172" s="102"/>
      <c r="D172" s="102"/>
      <c r="E172" s="102"/>
      <c r="F172" s="102"/>
      <c r="G172" s="102"/>
      <c r="H172" s="103"/>
      <c r="I172" s="75"/>
      <c r="J172" s="86">
        <f>(9*F168)/1000</f>
        <v>0.61916399999999994</v>
      </c>
      <c r="K172" s="89">
        <v>37</v>
      </c>
      <c r="L172" s="92">
        <v>9</v>
      </c>
      <c r="M172" s="92">
        <v>10</v>
      </c>
      <c r="N172" s="114"/>
      <c r="O172" s="34">
        <v>38</v>
      </c>
      <c r="P172" s="34">
        <v>66</v>
      </c>
      <c r="Q172" s="2">
        <f t="shared" si="337"/>
        <v>9</v>
      </c>
      <c r="R172" s="2">
        <f t="shared" si="333"/>
        <v>8</v>
      </c>
      <c r="S172" s="2">
        <v>20</v>
      </c>
      <c r="T172" s="2">
        <v>17</v>
      </c>
      <c r="U172" s="10">
        <f t="shared" ref="U172" si="344">0.098*J172*M172*0.5*R172</f>
        <v>2.4271228799999998</v>
      </c>
      <c r="V172" s="10">
        <f t="shared" ref="V172" si="345">0.098*J172*M172*Q172</f>
        <v>5.4610264799999992</v>
      </c>
      <c r="W172" s="10">
        <f t="shared" ref="W172" si="346">0.098*J172*M172*(S172-T172)</f>
        <v>1.8203421599999998</v>
      </c>
      <c r="X172" s="84"/>
      <c r="Y172" s="82"/>
      <c r="Z172" s="101">
        <f t="shared" ref="Z172" si="347">_xlfn.STDEV.S(R169:R174)</f>
        <v>0</v>
      </c>
    </row>
    <row r="173" spans="1:27" x14ac:dyDescent="0.2">
      <c r="A173" s="101"/>
      <c r="B173" s="102"/>
      <c r="C173" s="102"/>
      <c r="D173" s="102"/>
      <c r="E173" s="102"/>
      <c r="F173" s="102"/>
      <c r="G173" s="102"/>
      <c r="H173" s="103"/>
      <c r="I173" s="75"/>
      <c r="J173" s="87"/>
      <c r="K173" s="90"/>
      <c r="L173" s="93"/>
      <c r="M173" s="93"/>
      <c r="N173" s="114"/>
      <c r="O173" s="34">
        <v>38</v>
      </c>
      <c r="P173" s="34">
        <v>65</v>
      </c>
      <c r="Q173" s="2">
        <f t="shared" si="337"/>
        <v>7</v>
      </c>
      <c r="R173" s="2">
        <f t="shared" si="333"/>
        <v>8</v>
      </c>
      <c r="S173" s="2">
        <v>18</v>
      </c>
      <c r="T173" s="2">
        <v>15</v>
      </c>
      <c r="U173" s="10">
        <f t="shared" ref="U173" si="348">0.098*J172*M172*0.5*R173</f>
        <v>2.4271228799999998</v>
      </c>
      <c r="V173" s="10">
        <f t="shared" ref="V173" si="349">0.098*J172*M172*Q173</f>
        <v>4.2474650399999998</v>
      </c>
      <c r="W173" s="10">
        <f t="shared" ref="W173" si="350">0.098*J172*M172*(S173-T173)</f>
        <v>1.8203421599999998</v>
      </c>
      <c r="X173" s="84"/>
      <c r="Y173" s="82"/>
      <c r="Z173" s="101"/>
    </row>
    <row r="174" spans="1:27" ht="17" thickBot="1" x14ac:dyDescent="0.25">
      <c r="A174" s="104"/>
      <c r="B174" s="105"/>
      <c r="C174" s="105"/>
      <c r="D174" s="105"/>
      <c r="E174" s="105"/>
      <c r="F174" s="105"/>
      <c r="G174" s="105"/>
      <c r="H174" s="106"/>
      <c r="I174" s="117"/>
      <c r="J174" s="88"/>
      <c r="K174" s="91"/>
      <c r="L174" s="94"/>
      <c r="M174" s="94"/>
      <c r="N174" s="115"/>
      <c r="O174" s="35">
        <v>38</v>
      </c>
      <c r="P174" s="35">
        <v>65</v>
      </c>
      <c r="Q174" s="20">
        <f t="shared" si="337"/>
        <v>5</v>
      </c>
      <c r="R174" s="2">
        <f t="shared" si="333"/>
        <v>8</v>
      </c>
      <c r="S174" s="20">
        <v>16</v>
      </c>
      <c r="T174" s="20">
        <v>13</v>
      </c>
      <c r="U174" s="21">
        <f t="shared" ref="U174" si="351">0.098*J172*M172*0.5*R174</f>
        <v>2.4271228799999998</v>
      </c>
      <c r="V174" s="21">
        <f t="shared" ref="V174" si="352">0.098*J172*M172*Q174</f>
        <v>3.0339035999999995</v>
      </c>
      <c r="W174" s="21">
        <f t="shared" ref="W174" si="353">0.098*J172*M172*(S174-T174)</f>
        <v>1.8203421599999998</v>
      </c>
      <c r="X174" s="85"/>
      <c r="Y174" s="83"/>
      <c r="Z174" s="101"/>
    </row>
    <row r="175" spans="1:27" x14ac:dyDescent="0.2">
      <c r="A175" s="107" t="s">
        <v>8</v>
      </c>
      <c r="B175" s="110" t="s">
        <v>3</v>
      </c>
      <c r="C175" s="110" t="s">
        <v>7</v>
      </c>
      <c r="D175" s="110" t="s">
        <v>9</v>
      </c>
      <c r="E175" s="71" t="s">
        <v>11</v>
      </c>
      <c r="F175" s="71" t="s">
        <v>10</v>
      </c>
      <c r="G175" s="71" t="s">
        <v>12</v>
      </c>
      <c r="H175" s="71" t="s">
        <v>32</v>
      </c>
      <c r="I175" s="74" t="s">
        <v>14</v>
      </c>
      <c r="J175" s="67" t="s">
        <v>31</v>
      </c>
      <c r="K175" s="67" t="s">
        <v>33</v>
      </c>
      <c r="L175" s="67" t="s">
        <v>17</v>
      </c>
      <c r="M175" s="67" t="s">
        <v>0</v>
      </c>
      <c r="N175" s="113" t="s">
        <v>16</v>
      </c>
      <c r="O175" s="4" t="s">
        <v>6</v>
      </c>
      <c r="P175" s="4" t="s">
        <v>34</v>
      </c>
      <c r="Q175" s="17" t="s">
        <v>2</v>
      </c>
      <c r="R175" s="17" t="s">
        <v>1</v>
      </c>
      <c r="S175" s="17" t="s">
        <v>25</v>
      </c>
      <c r="T175" s="17" t="s">
        <v>26</v>
      </c>
      <c r="U175" s="18" t="s">
        <v>20</v>
      </c>
      <c r="V175" s="18" t="s">
        <v>22</v>
      </c>
      <c r="W175" s="18" t="s">
        <v>24</v>
      </c>
      <c r="X175" s="77" t="s">
        <v>19</v>
      </c>
      <c r="Y175" s="79" t="s">
        <v>23</v>
      </c>
      <c r="Z175" s="125" t="s">
        <v>39</v>
      </c>
    </row>
    <row r="176" spans="1:27" x14ac:dyDescent="0.2">
      <c r="A176" s="108"/>
      <c r="B176" s="111"/>
      <c r="C176" s="111"/>
      <c r="D176" s="111"/>
      <c r="E176" s="72"/>
      <c r="F176" s="72"/>
      <c r="G176" s="72"/>
      <c r="H176" s="72"/>
      <c r="I176" s="75"/>
      <c r="J176" s="68"/>
      <c r="K176" s="68"/>
      <c r="L176" s="68"/>
      <c r="M176" s="68"/>
      <c r="N176" s="114"/>
      <c r="O176" s="34">
        <v>37</v>
      </c>
      <c r="P176" s="34">
        <v>113</v>
      </c>
      <c r="Q176" s="2">
        <v>15</v>
      </c>
      <c r="R176" s="2">
        <f t="shared" ref="R176:R181" si="354">T176-Q176</f>
        <v>12</v>
      </c>
      <c r="S176" s="2">
        <v>28</v>
      </c>
      <c r="T176" s="2">
        <v>27</v>
      </c>
      <c r="U176" s="9">
        <f>0.098*$J$179*$M$179*0.5*R176</f>
        <v>2.9889404160000002</v>
      </c>
      <c r="V176" s="9" t="e">
        <f>0.098*J179*#REF!*Q176</f>
        <v>#REF!</v>
      </c>
      <c r="W176" s="8" t="e">
        <f>0.098*J179*#REF!*(S176-T176)</f>
        <v>#REF!</v>
      </c>
      <c r="X176" s="78"/>
      <c r="Y176" s="80"/>
      <c r="Z176" s="125"/>
    </row>
    <row r="177" spans="1:27" x14ac:dyDescent="0.2">
      <c r="A177" s="108"/>
      <c r="B177" s="111"/>
      <c r="C177" s="111"/>
      <c r="D177" s="111"/>
      <c r="E177" s="72"/>
      <c r="F177" s="72"/>
      <c r="G177" s="72"/>
      <c r="H177" s="72"/>
      <c r="I177" s="75"/>
      <c r="J177" s="68"/>
      <c r="K177" s="68"/>
      <c r="L177" s="68"/>
      <c r="M177" s="68"/>
      <c r="N177" s="114"/>
      <c r="O177" s="34">
        <v>38</v>
      </c>
      <c r="P177" s="34">
        <v>91</v>
      </c>
      <c r="Q177" s="2">
        <f t="shared" ref="Q177:Q181" si="355">Q176-2</f>
        <v>13</v>
      </c>
      <c r="R177" s="2">
        <f t="shared" si="354"/>
        <v>9</v>
      </c>
      <c r="S177" s="2">
        <v>26</v>
      </c>
      <c r="T177" s="2">
        <v>22</v>
      </c>
      <c r="U177" s="9">
        <f t="shared" ref="U177:U181" si="356">0.098*$J$179*$M$179*0.5*R177</f>
        <v>2.2417053120000001</v>
      </c>
      <c r="V177" s="9" t="e">
        <f>0.098*J179*#REF!*Q177</f>
        <v>#REF!</v>
      </c>
      <c r="W177" s="8" t="e">
        <f>0.098*J179*#REF!*(S177-T177)</f>
        <v>#REF!</v>
      </c>
      <c r="X177" s="23">
        <v>0.83333333333333337</v>
      </c>
      <c r="Y177" s="81" t="s">
        <v>40</v>
      </c>
      <c r="Z177" s="125"/>
    </row>
    <row r="178" spans="1:27" x14ac:dyDescent="0.2">
      <c r="A178" s="108"/>
      <c r="B178" s="111"/>
      <c r="C178" s="111"/>
      <c r="D178" s="111"/>
      <c r="E178" s="72"/>
      <c r="F178" s="72"/>
      <c r="G178" s="72"/>
      <c r="H178" s="72"/>
      <c r="I178" s="75"/>
      <c r="J178" s="69"/>
      <c r="K178" s="69"/>
      <c r="L178" s="69"/>
      <c r="M178" s="69"/>
      <c r="N178" s="114"/>
      <c r="O178" s="34">
        <v>36</v>
      </c>
      <c r="P178" s="34">
        <v>76</v>
      </c>
      <c r="Q178" s="2">
        <f t="shared" si="355"/>
        <v>11</v>
      </c>
      <c r="R178" s="2">
        <f t="shared" si="354"/>
        <v>9</v>
      </c>
      <c r="S178" s="2">
        <v>24</v>
      </c>
      <c r="T178" s="2">
        <v>20</v>
      </c>
      <c r="U178" s="9">
        <f t="shared" si="356"/>
        <v>2.2417053120000001</v>
      </c>
      <c r="V178" s="9" t="e">
        <f>0.098*J179*#REF!*Q178</f>
        <v>#REF!</v>
      </c>
      <c r="W178" s="8" t="e">
        <f>0.098*J179*#REF!*(S178-T178)</f>
        <v>#REF!</v>
      </c>
      <c r="X178" s="84"/>
      <c r="Y178" s="82"/>
      <c r="Z178" s="125"/>
    </row>
    <row r="179" spans="1:27" x14ac:dyDescent="0.2">
      <c r="A179" s="108"/>
      <c r="B179" s="111"/>
      <c r="C179" s="111"/>
      <c r="D179" s="111"/>
      <c r="E179" s="72"/>
      <c r="F179" s="72"/>
      <c r="G179" s="72"/>
      <c r="H179" s="72"/>
      <c r="I179" s="75"/>
      <c r="J179" s="86">
        <f t="shared" ref="J179" si="357">(7*F182)/1000</f>
        <v>0.46211199999999997</v>
      </c>
      <c r="K179" s="89">
        <v>39</v>
      </c>
      <c r="L179" s="118">
        <v>9</v>
      </c>
      <c r="M179" s="92">
        <v>11</v>
      </c>
      <c r="N179" s="114"/>
      <c r="O179" s="34">
        <v>35</v>
      </c>
      <c r="P179" s="34">
        <v>73</v>
      </c>
      <c r="Q179" s="2">
        <f t="shared" si="355"/>
        <v>9</v>
      </c>
      <c r="R179" s="2">
        <f t="shared" si="354"/>
        <v>10</v>
      </c>
      <c r="S179" s="2">
        <v>22</v>
      </c>
      <c r="T179" s="2">
        <v>19</v>
      </c>
      <c r="U179" s="9">
        <f t="shared" si="356"/>
        <v>2.4907836799999998</v>
      </c>
      <c r="V179" s="9" t="e">
        <f>0.098*J179*#REF!*Q179</f>
        <v>#REF!</v>
      </c>
      <c r="W179" s="8" t="e">
        <f>0.098*J179*#REF!*(S179-T179)</f>
        <v>#REF!</v>
      </c>
      <c r="X179" s="84"/>
      <c r="Y179" s="82"/>
      <c r="Z179" s="66">
        <f t="shared" ref="Z179" si="358">_xlfn.STDEV.S(R176:R181)</f>
        <v>1.2110601416389999</v>
      </c>
    </row>
    <row r="180" spans="1:27" x14ac:dyDescent="0.2">
      <c r="A180" s="108"/>
      <c r="B180" s="111"/>
      <c r="C180" s="111"/>
      <c r="D180" s="111"/>
      <c r="E180" s="72"/>
      <c r="F180" s="72"/>
      <c r="G180" s="72"/>
      <c r="H180" s="72"/>
      <c r="I180" s="75"/>
      <c r="J180" s="87"/>
      <c r="K180" s="90"/>
      <c r="L180" s="119"/>
      <c r="M180" s="93"/>
      <c r="N180" s="114"/>
      <c r="O180" s="34">
        <v>35</v>
      </c>
      <c r="P180" s="34">
        <v>71</v>
      </c>
      <c r="Q180" s="2">
        <f t="shared" si="355"/>
        <v>7</v>
      </c>
      <c r="R180" s="2">
        <f t="shared" si="354"/>
        <v>9</v>
      </c>
      <c r="S180" s="2">
        <v>20</v>
      </c>
      <c r="T180" s="2">
        <v>16</v>
      </c>
      <c r="U180" s="9">
        <f t="shared" si="356"/>
        <v>2.2417053120000001</v>
      </c>
      <c r="V180" s="9" t="e">
        <f>0.098*J179*#REF!*Q180</f>
        <v>#REF!</v>
      </c>
      <c r="W180" s="8" t="e">
        <f>0.098*J179*#REF!*(S180-T180)</f>
        <v>#REF!</v>
      </c>
      <c r="X180" s="84"/>
      <c r="Y180" s="82"/>
      <c r="Z180" s="66"/>
    </row>
    <row r="181" spans="1:27" ht="17" thickBot="1" x14ac:dyDescent="0.25">
      <c r="A181" s="109"/>
      <c r="B181" s="112"/>
      <c r="C181" s="112"/>
      <c r="D181" s="112"/>
      <c r="E181" s="73"/>
      <c r="F181" s="73"/>
      <c r="G181" s="73"/>
      <c r="H181" s="73"/>
      <c r="I181" s="76"/>
      <c r="J181" s="97"/>
      <c r="K181" s="96"/>
      <c r="L181" s="120"/>
      <c r="M181" s="95"/>
      <c r="N181" s="114"/>
      <c r="O181" s="34">
        <v>35</v>
      </c>
      <c r="P181" s="34">
        <v>67</v>
      </c>
      <c r="Q181" s="2">
        <f t="shared" si="355"/>
        <v>5</v>
      </c>
      <c r="R181" s="2">
        <f t="shared" si="354"/>
        <v>9</v>
      </c>
      <c r="S181" s="2">
        <v>18</v>
      </c>
      <c r="T181" s="2">
        <v>14</v>
      </c>
      <c r="U181" s="9">
        <f t="shared" si="356"/>
        <v>2.2417053120000001</v>
      </c>
      <c r="V181" s="9" t="e">
        <f>0.098*J179*#REF!*Q181</f>
        <v>#REF!</v>
      </c>
      <c r="W181" s="8" t="e">
        <f>0.098*J179*#REF!*(S181-T181)</f>
        <v>#REF!</v>
      </c>
      <c r="X181" s="84"/>
      <c r="Y181" s="82"/>
      <c r="Z181" s="66"/>
      <c r="AA181" t="s">
        <v>41</v>
      </c>
    </row>
    <row r="182" spans="1:27" x14ac:dyDescent="0.2">
      <c r="A182" s="19">
        <f>A168+1</f>
        <v>12</v>
      </c>
      <c r="B182" s="3" t="s">
        <v>5</v>
      </c>
      <c r="C182" s="3">
        <v>88</v>
      </c>
      <c r="D182" s="3">
        <v>170</v>
      </c>
      <c r="E182" s="3">
        <v>61</v>
      </c>
      <c r="F182" s="3">
        <f t="shared" ref="F182" si="359">IF(B182="M", 50 + 0.91*(D182-152.4), IF(B182="F", 45.5 + 0.91*(D182-152.4), ""))</f>
        <v>66.015999999999991</v>
      </c>
      <c r="G182" s="3">
        <v>95</v>
      </c>
      <c r="H182" s="3">
        <f t="shared" ref="H182" si="360">E182/(D182*10^-2)^2</f>
        <v>21.107266435986162</v>
      </c>
      <c r="I182" s="116" t="s">
        <v>15</v>
      </c>
      <c r="J182" s="70" t="s">
        <v>31</v>
      </c>
      <c r="K182" s="70" t="s">
        <v>33</v>
      </c>
      <c r="L182" s="70" t="s">
        <v>17</v>
      </c>
      <c r="M182" s="70" t="s">
        <v>0</v>
      </c>
      <c r="N182" s="114"/>
      <c r="O182" s="4" t="s">
        <v>6</v>
      </c>
      <c r="P182" s="4" t="s">
        <v>34</v>
      </c>
      <c r="Q182" s="6" t="s">
        <v>2</v>
      </c>
      <c r="R182" s="17" t="s">
        <v>1</v>
      </c>
      <c r="S182" s="17" t="s">
        <v>25</v>
      </c>
      <c r="T182" s="17" t="s">
        <v>26</v>
      </c>
      <c r="U182" s="7" t="s">
        <v>21</v>
      </c>
      <c r="V182" s="7" t="s">
        <v>22</v>
      </c>
      <c r="W182" s="7" t="s">
        <v>24</v>
      </c>
      <c r="X182" s="84"/>
      <c r="Y182" s="82"/>
      <c r="Z182" s="126" t="s">
        <v>39</v>
      </c>
      <c r="AA182" t="s">
        <v>42</v>
      </c>
    </row>
    <row r="183" spans="1:27" x14ac:dyDescent="0.2">
      <c r="A183" s="98"/>
      <c r="B183" s="99"/>
      <c r="C183" s="99"/>
      <c r="D183" s="99"/>
      <c r="E183" s="99"/>
      <c r="F183" s="99"/>
      <c r="G183" s="99"/>
      <c r="H183" s="100"/>
      <c r="I183" s="75"/>
      <c r="J183" s="68"/>
      <c r="K183" s="68"/>
      <c r="L183" s="68"/>
      <c r="M183" s="68"/>
      <c r="N183" s="114"/>
      <c r="O183" s="34">
        <v>36</v>
      </c>
      <c r="P183" s="34">
        <v>109</v>
      </c>
      <c r="Q183" s="2">
        <v>15</v>
      </c>
      <c r="R183" s="2">
        <f t="shared" ref="R183:R188" si="361">T183-Q183</f>
        <v>18</v>
      </c>
      <c r="S183" s="2">
        <v>37</v>
      </c>
      <c r="T183" s="2">
        <v>33</v>
      </c>
      <c r="U183" s="2">
        <f t="shared" ref="U183" si="362">0.098*J186*M186*0.5*R183</f>
        <v>4.7163150719999996</v>
      </c>
      <c r="V183" s="10">
        <f t="shared" ref="V183" si="363">0.098*J186*M186*Q183</f>
        <v>7.8605251199999984</v>
      </c>
      <c r="W183" s="2">
        <f t="shared" ref="W183" si="364">0.098*J186*M186*(S183-T183)</f>
        <v>2.0961400319999997</v>
      </c>
      <c r="X183" s="84"/>
      <c r="Y183" s="82"/>
      <c r="Z183" s="126"/>
    </row>
    <row r="184" spans="1:27" x14ac:dyDescent="0.2">
      <c r="A184" s="101"/>
      <c r="B184" s="102"/>
      <c r="C184" s="102"/>
      <c r="D184" s="102"/>
      <c r="E184" s="102"/>
      <c r="F184" s="102"/>
      <c r="G184" s="102"/>
      <c r="H184" s="103"/>
      <c r="I184" s="75"/>
      <c r="J184" s="68"/>
      <c r="K184" s="68"/>
      <c r="L184" s="68"/>
      <c r="M184" s="68"/>
      <c r="N184" s="114"/>
      <c r="O184" s="34">
        <v>37</v>
      </c>
      <c r="P184" s="34">
        <v>117</v>
      </c>
      <c r="Q184" s="2">
        <f t="shared" ref="Q184:Q188" si="365">Q183-2</f>
        <v>13</v>
      </c>
      <c r="R184" s="2">
        <f t="shared" si="361"/>
        <v>15</v>
      </c>
      <c r="S184" s="2">
        <v>32</v>
      </c>
      <c r="T184" s="2">
        <v>28</v>
      </c>
      <c r="U184" s="2">
        <f t="shared" ref="U184" si="366">0.098*J186*M186*0.5*R184</f>
        <v>3.9302625599999992</v>
      </c>
      <c r="V184" s="10">
        <f t="shared" ref="V184" si="367">0.098*J186*M186*Q184</f>
        <v>6.8124551039999988</v>
      </c>
      <c r="W184" s="2">
        <f t="shared" ref="W184" si="368">0.098*J186*M186*(S184-T184)</f>
        <v>2.0961400319999997</v>
      </c>
      <c r="X184" s="84"/>
      <c r="Y184" s="82"/>
      <c r="Z184" s="126"/>
    </row>
    <row r="185" spans="1:27" x14ac:dyDescent="0.2">
      <c r="A185" s="101"/>
      <c r="B185" s="102"/>
      <c r="C185" s="102"/>
      <c r="D185" s="102"/>
      <c r="E185" s="102"/>
      <c r="F185" s="102"/>
      <c r="G185" s="102"/>
      <c r="H185" s="103"/>
      <c r="I185" s="75"/>
      <c r="J185" s="69"/>
      <c r="K185" s="69"/>
      <c r="L185" s="69"/>
      <c r="M185" s="69"/>
      <c r="N185" s="114"/>
      <c r="O185" s="34">
        <v>38</v>
      </c>
      <c r="P185" s="34">
        <v>124</v>
      </c>
      <c r="Q185" s="2">
        <f t="shared" si="365"/>
        <v>11</v>
      </c>
      <c r="R185" s="2">
        <f t="shared" si="361"/>
        <v>15</v>
      </c>
      <c r="S185" s="2">
        <v>30</v>
      </c>
      <c r="T185" s="2">
        <v>26</v>
      </c>
      <c r="U185" s="2">
        <f t="shared" ref="U185" si="369">0.098*J186*M186*0.5*R185</f>
        <v>3.9302625599999992</v>
      </c>
      <c r="V185" s="10">
        <f t="shared" ref="V185" si="370">0.098*J186*M186*Q185</f>
        <v>5.7643850879999992</v>
      </c>
      <c r="W185" s="2">
        <f t="shared" ref="W185" si="371">0.098*J186*M186*(S185-T185)</f>
        <v>2.0961400319999997</v>
      </c>
      <c r="X185" s="84"/>
      <c r="Y185" s="82"/>
      <c r="Z185" s="126"/>
    </row>
    <row r="186" spans="1:27" x14ac:dyDescent="0.2">
      <c r="A186" s="101"/>
      <c r="B186" s="102"/>
      <c r="C186" s="102"/>
      <c r="D186" s="102"/>
      <c r="E186" s="102"/>
      <c r="F186" s="102"/>
      <c r="G186" s="102"/>
      <c r="H186" s="103"/>
      <c r="I186" s="75"/>
      <c r="J186" s="86">
        <f t="shared" ref="J186" si="372">(9*F182)/1000</f>
        <v>0.59414399999999989</v>
      </c>
      <c r="K186" s="89">
        <v>35</v>
      </c>
      <c r="L186" s="92">
        <v>10</v>
      </c>
      <c r="M186" s="92">
        <v>9</v>
      </c>
      <c r="N186" s="114"/>
      <c r="O186" s="34">
        <v>38</v>
      </c>
      <c r="P186" s="34">
        <v>110</v>
      </c>
      <c r="Q186" s="2">
        <f t="shared" si="365"/>
        <v>9</v>
      </c>
      <c r="R186" s="2">
        <f t="shared" si="361"/>
        <v>15</v>
      </c>
      <c r="S186" s="2">
        <v>30</v>
      </c>
      <c r="T186" s="2">
        <v>24</v>
      </c>
      <c r="U186" s="2">
        <f t="shared" ref="U186" si="373">0.098*J186*M186*0.5*R186</f>
        <v>3.9302625599999992</v>
      </c>
      <c r="V186" s="10">
        <f t="shared" ref="V186" si="374">0.098*J186*M186*Q186</f>
        <v>4.7163150719999996</v>
      </c>
      <c r="W186" s="2">
        <f t="shared" ref="W186" si="375">0.098*J186*M186*(S186-T186)</f>
        <v>3.1442100479999997</v>
      </c>
      <c r="X186" s="84"/>
      <c r="Y186" s="82"/>
      <c r="Z186" s="101">
        <f t="shared" ref="Z186" si="376">_xlfn.STDEV.S(R183:R188)</f>
        <v>1.2649110640673518</v>
      </c>
    </row>
    <row r="187" spans="1:27" x14ac:dyDescent="0.2">
      <c r="A187" s="101"/>
      <c r="B187" s="102"/>
      <c r="C187" s="102"/>
      <c r="D187" s="102"/>
      <c r="E187" s="102"/>
      <c r="F187" s="102"/>
      <c r="G187" s="102"/>
      <c r="H187" s="103"/>
      <c r="I187" s="75"/>
      <c r="J187" s="87"/>
      <c r="K187" s="90"/>
      <c r="L187" s="93"/>
      <c r="M187" s="93"/>
      <c r="N187" s="114"/>
      <c r="O187" s="34">
        <v>37</v>
      </c>
      <c r="P187" s="34">
        <v>98</v>
      </c>
      <c r="Q187" s="2">
        <f t="shared" si="365"/>
        <v>7</v>
      </c>
      <c r="R187" s="2">
        <f t="shared" si="361"/>
        <v>16</v>
      </c>
      <c r="S187" s="2">
        <v>29</v>
      </c>
      <c r="T187" s="2">
        <v>23</v>
      </c>
      <c r="U187" s="2">
        <f t="shared" ref="U187" si="377">0.098*J186*M186*0.5*R187</f>
        <v>4.1922800639999993</v>
      </c>
      <c r="V187" s="10">
        <f t="shared" ref="V187" si="378">0.098*J186*M186*Q187</f>
        <v>3.6682450559999995</v>
      </c>
      <c r="W187" s="2">
        <f t="shared" ref="W187" si="379">0.098*J186*M186*(S187-T187)</f>
        <v>3.1442100479999997</v>
      </c>
      <c r="X187" s="84"/>
      <c r="Y187" s="82"/>
      <c r="Z187" s="101"/>
    </row>
    <row r="188" spans="1:27" ht="17" thickBot="1" x14ac:dyDescent="0.25">
      <c r="A188" s="104"/>
      <c r="B188" s="105"/>
      <c r="C188" s="105"/>
      <c r="D188" s="105"/>
      <c r="E188" s="105"/>
      <c r="F188" s="105"/>
      <c r="G188" s="105"/>
      <c r="H188" s="106"/>
      <c r="I188" s="117"/>
      <c r="J188" s="88"/>
      <c r="K188" s="91"/>
      <c r="L188" s="94"/>
      <c r="M188" s="94"/>
      <c r="N188" s="115"/>
      <c r="O188" s="35">
        <v>38</v>
      </c>
      <c r="P188" s="35">
        <v>105</v>
      </c>
      <c r="Q188" s="20">
        <f t="shared" si="365"/>
        <v>5</v>
      </c>
      <c r="R188" s="2">
        <f t="shared" si="361"/>
        <v>17</v>
      </c>
      <c r="S188" s="20">
        <v>28</v>
      </c>
      <c r="T188" s="20">
        <v>22</v>
      </c>
      <c r="U188" s="20">
        <f t="shared" ref="U188" si="380">0.098*J186*M186*0.5*R188</f>
        <v>4.4542975679999994</v>
      </c>
      <c r="V188" s="21">
        <f t="shared" ref="V188" si="381">0.098*J186*M186*Q188</f>
        <v>2.6201750399999995</v>
      </c>
      <c r="W188" s="20">
        <f t="shared" ref="W188" si="382">0.098*J186*M186*(S188-T188)</f>
        <v>3.1442100479999997</v>
      </c>
      <c r="X188" s="85"/>
      <c r="Y188" s="83"/>
      <c r="Z188" s="101"/>
    </row>
    <row r="189" spans="1:27" x14ac:dyDescent="0.2">
      <c r="A189" s="107" t="s">
        <v>8</v>
      </c>
      <c r="B189" s="110" t="s">
        <v>3</v>
      </c>
      <c r="C189" s="110" t="s">
        <v>7</v>
      </c>
      <c r="D189" s="110" t="s">
        <v>9</v>
      </c>
      <c r="E189" s="71" t="s">
        <v>11</v>
      </c>
      <c r="F189" s="71" t="s">
        <v>10</v>
      </c>
      <c r="G189" s="71" t="s">
        <v>12</v>
      </c>
      <c r="H189" s="71" t="s">
        <v>32</v>
      </c>
      <c r="I189" s="74" t="s">
        <v>14</v>
      </c>
      <c r="J189" s="67" t="s">
        <v>31</v>
      </c>
      <c r="K189" s="67" t="s">
        <v>33</v>
      </c>
      <c r="L189" s="67" t="s">
        <v>17</v>
      </c>
      <c r="M189" s="67" t="s">
        <v>0</v>
      </c>
      <c r="N189" s="113" t="s">
        <v>16</v>
      </c>
      <c r="O189" s="4" t="s">
        <v>6</v>
      </c>
      <c r="P189" s="4" t="s">
        <v>34</v>
      </c>
      <c r="Q189" s="17" t="s">
        <v>2</v>
      </c>
      <c r="R189" s="17" t="s">
        <v>1</v>
      </c>
      <c r="S189" s="17" t="s">
        <v>25</v>
      </c>
      <c r="T189" s="17" t="s">
        <v>26</v>
      </c>
      <c r="U189" s="18" t="s">
        <v>20</v>
      </c>
      <c r="V189" s="18" t="s">
        <v>22</v>
      </c>
      <c r="W189" s="18" t="s">
        <v>24</v>
      </c>
      <c r="X189" s="77" t="s">
        <v>19</v>
      </c>
      <c r="Y189" s="79" t="s">
        <v>23</v>
      </c>
      <c r="Z189" s="125" t="s">
        <v>39</v>
      </c>
    </row>
    <row r="190" spans="1:27" x14ac:dyDescent="0.2">
      <c r="A190" s="108"/>
      <c r="B190" s="111"/>
      <c r="C190" s="111"/>
      <c r="D190" s="111"/>
      <c r="E190" s="72"/>
      <c r="F190" s="72"/>
      <c r="G190" s="72"/>
      <c r="H190" s="72"/>
      <c r="I190" s="75"/>
      <c r="J190" s="68"/>
      <c r="K190" s="68"/>
      <c r="L190" s="68"/>
      <c r="M190" s="68"/>
      <c r="N190" s="114"/>
      <c r="O190" s="34">
        <v>41</v>
      </c>
      <c r="P190" s="34">
        <v>88</v>
      </c>
      <c r="Q190" s="2">
        <v>15</v>
      </c>
      <c r="R190" s="2">
        <f t="shared" ref="R190:R195" si="383">T190-Q190</f>
        <v>7</v>
      </c>
      <c r="S190" s="2">
        <v>26</v>
      </c>
      <c r="T190" s="2">
        <v>22</v>
      </c>
      <c r="U190" s="9">
        <f t="shared" ref="U190" si="384">0.098*J193*M193*0.5*R190</f>
        <v>2.1040587259999999</v>
      </c>
      <c r="V190" s="9">
        <f t="shared" ref="V190" si="385">0.098*J193*M193*Q190</f>
        <v>9.0173945399999997</v>
      </c>
      <c r="W190" s="8">
        <f t="shared" ref="W190" si="386">0.098*J193*M193*(S190-T190)</f>
        <v>2.404638544</v>
      </c>
      <c r="X190" s="78"/>
      <c r="Y190" s="80"/>
      <c r="Z190" s="125"/>
    </row>
    <row r="191" spans="1:27" x14ac:dyDescent="0.2">
      <c r="A191" s="108"/>
      <c r="B191" s="111"/>
      <c r="C191" s="111"/>
      <c r="D191" s="111"/>
      <c r="E191" s="72"/>
      <c r="F191" s="72"/>
      <c r="G191" s="72"/>
      <c r="H191" s="72"/>
      <c r="I191" s="75"/>
      <c r="J191" s="68"/>
      <c r="K191" s="68"/>
      <c r="L191" s="68"/>
      <c r="M191" s="68"/>
      <c r="N191" s="114"/>
      <c r="O191" s="34">
        <v>41</v>
      </c>
      <c r="P191" s="34">
        <v>71</v>
      </c>
      <c r="Q191" s="2">
        <f t="shared" ref="Q191:Q195" si="387">Q190-2</f>
        <v>13</v>
      </c>
      <c r="R191" s="2">
        <f t="shared" si="383"/>
        <v>7</v>
      </c>
      <c r="S191" s="2">
        <v>26</v>
      </c>
      <c r="T191" s="2">
        <v>20</v>
      </c>
      <c r="U191" s="9">
        <f t="shared" ref="U191" si="388">0.098*J193*M193*0.5*R191</f>
        <v>2.1040587259999999</v>
      </c>
      <c r="V191" s="9">
        <f t="shared" ref="V191" si="389">0.098*J193*M193*Q191</f>
        <v>7.8150752680000002</v>
      </c>
      <c r="W191" s="8">
        <f t="shared" ref="W191" si="390">0.098*J193*M193*(S191-T191)</f>
        <v>3.606957816</v>
      </c>
      <c r="X191" s="23">
        <v>0.60972222222222228</v>
      </c>
      <c r="Y191" s="81"/>
      <c r="Z191" s="125"/>
    </row>
    <row r="192" spans="1:27" x14ac:dyDescent="0.2">
      <c r="A192" s="108"/>
      <c r="B192" s="111"/>
      <c r="C192" s="111"/>
      <c r="D192" s="111"/>
      <c r="E192" s="72"/>
      <c r="F192" s="72"/>
      <c r="G192" s="72"/>
      <c r="H192" s="72"/>
      <c r="I192" s="75"/>
      <c r="J192" s="69"/>
      <c r="K192" s="69"/>
      <c r="L192" s="69"/>
      <c r="M192" s="69"/>
      <c r="N192" s="114"/>
      <c r="O192" s="34">
        <v>41</v>
      </c>
      <c r="P192" s="34">
        <v>63</v>
      </c>
      <c r="Q192" s="2">
        <f t="shared" si="387"/>
        <v>11</v>
      </c>
      <c r="R192" s="2">
        <f t="shared" si="383"/>
        <v>8</v>
      </c>
      <c r="S192" s="2">
        <v>24</v>
      </c>
      <c r="T192" s="2">
        <v>19</v>
      </c>
      <c r="U192" s="9">
        <f t="shared" ref="U192" si="391">0.098*J193*M193*0.5*R192</f>
        <v>2.404638544</v>
      </c>
      <c r="V192" s="9">
        <f t="shared" ref="V192" si="392">0.098*J193*M193*Q192</f>
        <v>6.6127559959999997</v>
      </c>
      <c r="W192" s="8">
        <f t="shared" ref="W192" si="393">0.098*J193*M193*(S192-T192)</f>
        <v>3.0057981800000002</v>
      </c>
      <c r="X192" s="84"/>
      <c r="Y192" s="82"/>
      <c r="Z192" s="125"/>
    </row>
    <row r="193" spans="1:27" x14ac:dyDescent="0.2">
      <c r="A193" s="108"/>
      <c r="B193" s="111"/>
      <c r="C193" s="111"/>
      <c r="D193" s="111"/>
      <c r="E193" s="72"/>
      <c r="F193" s="72"/>
      <c r="G193" s="72"/>
      <c r="H193" s="72"/>
      <c r="I193" s="75"/>
      <c r="J193" s="86">
        <f t="shared" ref="J193" si="394">(7*F196)/1000</f>
        <v>0.55766199999999999</v>
      </c>
      <c r="K193" s="89">
        <v>41</v>
      </c>
      <c r="L193" s="92">
        <v>11</v>
      </c>
      <c r="M193" s="92">
        <v>11</v>
      </c>
      <c r="N193" s="114"/>
      <c r="O193" s="34">
        <v>40</v>
      </c>
      <c r="P193" s="34">
        <v>60</v>
      </c>
      <c r="Q193" s="2">
        <f t="shared" si="387"/>
        <v>9</v>
      </c>
      <c r="R193" s="2">
        <f t="shared" si="383"/>
        <v>7</v>
      </c>
      <c r="S193" s="2">
        <v>23</v>
      </c>
      <c r="T193" s="2">
        <v>16</v>
      </c>
      <c r="U193" s="9">
        <f t="shared" ref="U193" si="395">0.098*J193*M193*0.5*R193</f>
        <v>2.1040587259999999</v>
      </c>
      <c r="V193" s="9">
        <f t="shared" ref="V193" si="396">0.098*J193*M193*Q193</f>
        <v>5.4104367240000002</v>
      </c>
      <c r="W193" s="8">
        <f t="shared" ref="W193" si="397">0.098*J193*M193*(S193-T193)</f>
        <v>4.2081174519999998</v>
      </c>
      <c r="X193" s="84"/>
      <c r="Y193" s="82"/>
      <c r="Z193" s="66">
        <f t="shared" ref="Z193" si="398">_xlfn.STDEV.S(R190:R195)</f>
        <v>0.54772255750516607</v>
      </c>
    </row>
    <row r="194" spans="1:27" x14ac:dyDescent="0.2">
      <c r="A194" s="108"/>
      <c r="B194" s="111"/>
      <c r="C194" s="111"/>
      <c r="D194" s="111"/>
      <c r="E194" s="72"/>
      <c r="F194" s="72"/>
      <c r="G194" s="72"/>
      <c r="H194" s="72"/>
      <c r="I194" s="75"/>
      <c r="J194" s="87"/>
      <c r="K194" s="90"/>
      <c r="L194" s="93"/>
      <c r="M194" s="93"/>
      <c r="N194" s="114"/>
      <c r="O194" s="34">
        <v>41</v>
      </c>
      <c r="P194" s="34">
        <v>68</v>
      </c>
      <c r="Q194" s="2">
        <f t="shared" si="387"/>
        <v>7</v>
      </c>
      <c r="R194" s="2">
        <f t="shared" si="383"/>
        <v>8</v>
      </c>
      <c r="S194" s="2">
        <v>22</v>
      </c>
      <c r="T194" s="2">
        <v>15</v>
      </c>
      <c r="U194" s="9">
        <f t="shared" ref="U194" si="399">0.098*J193*M193*0.5*R194</f>
        <v>2.404638544</v>
      </c>
      <c r="V194" s="9">
        <f t="shared" ref="V194" si="400">0.098*J193*M193*Q194</f>
        <v>4.2081174519999998</v>
      </c>
      <c r="W194" s="8">
        <f t="shared" ref="W194" si="401">0.098*J193*M193*(S194-T194)</f>
        <v>4.2081174519999998</v>
      </c>
      <c r="X194" s="84"/>
      <c r="Y194" s="82"/>
      <c r="Z194" s="66"/>
    </row>
    <row r="195" spans="1:27" ht="17" thickBot="1" x14ac:dyDescent="0.25">
      <c r="A195" s="109"/>
      <c r="B195" s="112"/>
      <c r="C195" s="112"/>
      <c r="D195" s="112"/>
      <c r="E195" s="73"/>
      <c r="F195" s="73"/>
      <c r="G195" s="73"/>
      <c r="H195" s="73"/>
      <c r="I195" s="76"/>
      <c r="J195" s="97"/>
      <c r="K195" s="96"/>
      <c r="L195" s="95"/>
      <c r="M195" s="95"/>
      <c r="N195" s="114"/>
      <c r="O195" s="34">
        <v>42</v>
      </c>
      <c r="P195" s="34">
        <v>71</v>
      </c>
      <c r="Q195" s="2">
        <f t="shared" si="387"/>
        <v>5</v>
      </c>
      <c r="R195" s="2">
        <f t="shared" si="383"/>
        <v>8</v>
      </c>
      <c r="S195" s="2">
        <v>19</v>
      </c>
      <c r="T195" s="2">
        <v>13</v>
      </c>
      <c r="U195" s="9">
        <f t="shared" ref="U195" si="402">0.098*J193*M193*0.5*R195</f>
        <v>2.404638544</v>
      </c>
      <c r="V195" s="9">
        <f t="shared" ref="V195" si="403">0.098*J193*M193*Q195</f>
        <v>3.0057981800000002</v>
      </c>
      <c r="W195" s="8">
        <f t="shared" ref="W195" si="404">0.098*J193*M193*(S195-T195)</f>
        <v>3.606957816</v>
      </c>
      <c r="X195" s="84"/>
      <c r="Y195" s="82"/>
      <c r="Z195" s="66"/>
      <c r="AA195" t="s">
        <v>41</v>
      </c>
    </row>
    <row r="196" spans="1:27" x14ac:dyDescent="0.2">
      <c r="A196" s="19">
        <f t="shared" ref="A196:A210" si="405">A182+1</f>
        <v>13</v>
      </c>
      <c r="B196" s="3" t="s">
        <v>5</v>
      </c>
      <c r="C196" s="3">
        <v>61</v>
      </c>
      <c r="D196" s="3">
        <v>185</v>
      </c>
      <c r="E196" s="3">
        <v>85</v>
      </c>
      <c r="F196" s="3">
        <f t="shared" ref="F196" si="406">IF(B196="M", 50 + 0.91*(D196-152.4), IF(B196="F", 45.5 + 0.91*(D196-152.4), ""))</f>
        <v>79.665999999999997</v>
      </c>
      <c r="G196" s="3">
        <v>88</v>
      </c>
      <c r="H196" s="3">
        <f t="shared" ref="H196" si="407">E196/(D196*10^-2)^2</f>
        <v>24.835646457268076</v>
      </c>
      <c r="I196" s="116" t="s">
        <v>15</v>
      </c>
      <c r="J196" s="70" t="s">
        <v>31</v>
      </c>
      <c r="K196" s="70" t="s">
        <v>33</v>
      </c>
      <c r="L196" s="70" t="s">
        <v>17</v>
      </c>
      <c r="M196" s="70" t="s">
        <v>0</v>
      </c>
      <c r="N196" s="114"/>
      <c r="O196" s="4" t="s">
        <v>6</v>
      </c>
      <c r="P196" s="4" t="s">
        <v>34</v>
      </c>
      <c r="Q196" s="6" t="s">
        <v>2</v>
      </c>
      <c r="R196" s="17" t="s">
        <v>1</v>
      </c>
      <c r="S196" s="17" t="s">
        <v>25</v>
      </c>
      <c r="T196" s="17" t="s">
        <v>26</v>
      </c>
      <c r="U196" s="7" t="s">
        <v>21</v>
      </c>
      <c r="V196" s="7" t="s">
        <v>22</v>
      </c>
      <c r="W196" s="7" t="s">
        <v>24</v>
      </c>
      <c r="X196" s="84"/>
      <c r="Y196" s="82"/>
      <c r="Z196" s="125" t="s">
        <v>39</v>
      </c>
      <c r="AA196" t="s">
        <v>42</v>
      </c>
    </row>
    <row r="197" spans="1:27" x14ac:dyDescent="0.2">
      <c r="A197" s="98"/>
      <c r="B197" s="99"/>
      <c r="C197" s="99"/>
      <c r="D197" s="99"/>
      <c r="E197" s="99"/>
      <c r="F197" s="99"/>
      <c r="G197" s="99"/>
      <c r="H197" s="100"/>
      <c r="I197" s="75"/>
      <c r="J197" s="68"/>
      <c r="K197" s="68"/>
      <c r="L197" s="68"/>
      <c r="M197" s="68"/>
      <c r="N197" s="114"/>
      <c r="O197" s="34">
        <v>40</v>
      </c>
      <c r="P197" s="34">
        <v>63</v>
      </c>
      <c r="Q197" s="2">
        <v>15</v>
      </c>
      <c r="R197" s="2">
        <f t="shared" ref="R197:R202" si="408">T197-Q197</f>
        <v>10</v>
      </c>
      <c r="S197" s="2">
        <v>33</v>
      </c>
      <c r="T197" s="2">
        <v>25</v>
      </c>
      <c r="U197" s="2">
        <f t="shared" ref="U197" si="409">0.098*J200*M200*0.5*R197</f>
        <v>3.8645976599999998</v>
      </c>
      <c r="V197" s="10">
        <f t="shared" ref="V197" si="410">0.098*J200*M200*Q197</f>
        <v>11.59379298</v>
      </c>
      <c r="W197" s="2">
        <f t="shared" ref="W197" si="411">0.098*J200*M200*(S197-T197)</f>
        <v>6.1833562559999997</v>
      </c>
      <c r="X197" s="84"/>
      <c r="Y197" s="82"/>
      <c r="Z197" s="125"/>
    </row>
    <row r="198" spans="1:27" x14ac:dyDescent="0.2">
      <c r="A198" s="101"/>
      <c r="B198" s="102"/>
      <c r="C198" s="102"/>
      <c r="D198" s="102"/>
      <c r="E198" s="102"/>
      <c r="F198" s="102"/>
      <c r="G198" s="102"/>
      <c r="H198" s="103"/>
      <c r="I198" s="75"/>
      <c r="J198" s="68"/>
      <c r="K198" s="68"/>
      <c r="L198" s="68"/>
      <c r="M198" s="68"/>
      <c r="N198" s="114"/>
      <c r="O198" s="34">
        <v>40</v>
      </c>
      <c r="P198" s="34">
        <v>65</v>
      </c>
      <c r="Q198" s="2">
        <f t="shared" ref="Q198:Q202" si="412">Q197-2</f>
        <v>13</v>
      </c>
      <c r="R198" s="2">
        <f t="shared" si="408"/>
        <v>10</v>
      </c>
      <c r="S198" s="2">
        <v>31</v>
      </c>
      <c r="T198" s="2">
        <v>23</v>
      </c>
      <c r="U198" s="2">
        <f t="shared" ref="U198" si="413">0.098*J200*M200*0.5*R198</f>
        <v>3.8645976599999998</v>
      </c>
      <c r="V198" s="10">
        <f t="shared" ref="V198" si="414">0.098*J200*M200*Q198</f>
        <v>10.047953915999999</v>
      </c>
      <c r="W198" s="2">
        <f t="shared" ref="W198" si="415">0.098*J200*M200*(S198-T198)</f>
        <v>6.1833562559999997</v>
      </c>
      <c r="X198" s="84"/>
      <c r="Y198" s="82"/>
      <c r="Z198" s="125"/>
    </row>
    <row r="199" spans="1:27" x14ac:dyDescent="0.2">
      <c r="A199" s="101"/>
      <c r="B199" s="102"/>
      <c r="C199" s="102"/>
      <c r="D199" s="102"/>
      <c r="E199" s="102"/>
      <c r="F199" s="102"/>
      <c r="G199" s="102"/>
      <c r="H199" s="103"/>
      <c r="I199" s="75"/>
      <c r="J199" s="69"/>
      <c r="K199" s="69"/>
      <c r="L199" s="69"/>
      <c r="M199" s="69"/>
      <c r="N199" s="114"/>
      <c r="O199" s="34">
        <v>40</v>
      </c>
      <c r="P199" s="34">
        <v>63</v>
      </c>
      <c r="Q199" s="2">
        <f t="shared" si="412"/>
        <v>11</v>
      </c>
      <c r="R199" s="2">
        <f t="shared" si="408"/>
        <v>9</v>
      </c>
      <c r="S199" s="2">
        <v>28</v>
      </c>
      <c r="T199" s="2">
        <v>20</v>
      </c>
      <c r="U199" s="2">
        <f t="shared" ref="U199" si="416">0.098*J200*M200*0.5*R199</f>
        <v>3.4781378939999996</v>
      </c>
      <c r="V199" s="10">
        <f t="shared" ref="V199" si="417">0.098*J200*M200*Q199</f>
        <v>8.5021148520000001</v>
      </c>
      <c r="W199" s="2">
        <f t="shared" ref="W199" si="418">0.098*J200*M200*(S199-T199)</f>
        <v>6.1833562559999997</v>
      </c>
      <c r="X199" s="84"/>
      <c r="Y199" s="82"/>
      <c r="Z199" s="125"/>
    </row>
    <row r="200" spans="1:27" x14ac:dyDescent="0.2">
      <c r="A200" s="101"/>
      <c r="B200" s="102"/>
      <c r="C200" s="102"/>
      <c r="D200" s="102"/>
      <c r="E200" s="102"/>
      <c r="F200" s="102"/>
      <c r="G200" s="102"/>
      <c r="H200" s="103"/>
      <c r="I200" s="75"/>
      <c r="J200" s="86">
        <f t="shared" ref="J200" si="419">(9*F196)/1000</f>
        <v>0.71699399999999991</v>
      </c>
      <c r="K200" s="89">
        <v>42</v>
      </c>
      <c r="L200" s="92">
        <v>11</v>
      </c>
      <c r="M200" s="92">
        <v>11</v>
      </c>
      <c r="N200" s="114"/>
      <c r="O200" s="34">
        <v>40</v>
      </c>
      <c r="P200" s="34">
        <v>62</v>
      </c>
      <c r="Q200" s="2">
        <f t="shared" si="412"/>
        <v>9</v>
      </c>
      <c r="R200" s="2">
        <f t="shared" si="408"/>
        <v>9</v>
      </c>
      <c r="S200" s="2">
        <v>24</v>
      </c>
      <c r="T200" s="2">
        <v>18</v>
      </c>
      <c r="U200" s="2">
        <f t="shared" ref="U200" si="420">0.098*J200*M200*0.5*R200</f>
        <v>3.4781378939999996</v>
      </c>
      <c r="V200" s="10">
        <f t="shared" ref="V200" si="421">0.098*J200*M200*Q200</f>
        <v>6.9562757879999992</v>
      </c>
      <c r="W200" s="2">
        <f t="shared" ref="W200" si="422">0.098*J200*M200*(S200-T200)</f>
        <v>4.6375171919999998</v>
      </c>
      <c r="X200" s="84"/>
      <c r="Y200" s="82"/>
      <c r="Z200" s="101">
        <f t="shared" ref="Z200" si="423">_xlfn.STDEV.S(R197:R202)</f>
        <v>0.54772255750516607</v>
      </c>
    </row>
    <row r="201" spans="1:27" x14ac:dyDescent="0.2">
      <c r="A201" s="101"/>
      <c r="B201" s="102"/>
      <c r="C201" s="102"/>
      <c r="D201" s="102"/>
      <c r="E201" s="102"/>
      <c r="F201" s="102"/>
      <c r="G201" s="102"/>
      <c r="H201" s="103"/>
      <c r="I201" s="75"/>
      <c r="J201" s="87"/>
      <c r="K201" s="90"/>
      <c r="L201" s="93"/>
      <c r="M201" s="93"/>
      <c r="N201" s="114"/>
      <c r="O201" s="34">
        <v>39</v>
      </c>
      <c r="P201" s="34">
        <v>60</v>
      </c>
      <c r="Q201" s="2">
        <f t="shared" si="412"/>
        <v>7</v>
      </c>
      <c r="R201" s="2">
        <f t="shared" si="408"/>
        <v>9</v>
      </c>
      <c r="S201" s="2">
        <v>24</v>
      </c>
      <c r="T201" s="2">
        <v>16</v>
      </c>
      <c r="U201" s="2">
        <f t="shared" ref="U201" si="424">0.098*J200*M200*0.5*R201</f>
        <v>3.4781378939999996</v>
      </c>
      <c r="V201" s="10">
        <f t="shared" ref="V201" si="425">0.098*J200*M200*Q201</f>
        <v>5.4104367240000002</v>
      </c>
      <c r="W201" s="2">
        <f t="shared" ref="W201" si="426">0.098*J200*M200*(S201-T201)</f>
        <v>6.1833562559999997</v>
      </c>
      <c r="X201" s="84"/>
      <c r="Y201" s="82"/>
      <c r="Z201" s="101"/>
    </row>
    <row r="202" spans="1:27" ht="17" thickBot="1" x14ac:dyDescent="0.25">
      <c r="A202" s="104"/>
      <c r="B202" s="105"/>
      <c r="C202" s="105"/>
      <c r="D202" s="105"/>
      <c r="E202" s="105"/>
      <c r="F202" s="105"/>
      <c r="G202" s="105"/>
      <c r="H202" s="106"/>
      <c r="I202" s="117"/>
      <c r="J202" s="88"/>
      <c r="K202" s="91"/>
      <c r="L202" s="94"/>
      <c r="M202" s="94"/>
      <c r="N202" s="115"/>
      <c r="O202" s="35">
        <v>38</v>
      </c>
      <c r="P202" s="35">
        <v>60</v>
      </c>
      <c r="Q202" s="20">
        <f t="shared" si="412"/>
        <v>5</v>
      </c>
      <c r="R202" s="2">
        <f t="shared" si="408"/>
        <v>10</v>
      </c>
      <c r="S202" s="20">
        <v>23</v>
      </c>
      <c r="T202" s="20">
        <v>15</v>
      </c>
      <c r="U202" s="20">
        <f t="shared" ref="U202" si="427">0.098*J200*M200*0.5*R202</f>
        <v>3.8645976599999998</v>
      </c>
      <c r="V202" s="21">
        <f t="shared" ref="V202" si="428">0.098*J200*M200*Q202</f>
        <v>3.8645976599999998</v>
      </c>
      <c r="W202" s="20">
        <f t="shared" ref="W202" si="429">0.098*J200*M200*(S202-T202)</f>
        <v>6.1833562559999997</v>
      </c>
      <c r="X202" s="85"/>
      <c r="Y202" s="83"/>
      <c r="Z202" s="101"/>
    </row>
    <row r="203" spans="1:27" x14ac:dyDescent="0.2">
      <c r="A203" s="107" t="s">
        <v>8</v>
      </c>
      <c r="B203" s="110" t="s">
        <v>3</v>
      </c>
      <c r="C203" s="110" t="s">
        <v>7</v>
      </c>
      <c r="D203" s="110" t="s">
        <v>9</v>
      </c>
      <c r="E203" s="71" t="s">
        <v>11</v>
      </c>
      <c r="F203" s="71" t="s">
        <v>10</v>
      </c>
      <c r="G203" s="71" t="s">
        <v>12</v>
      </c>
      <c r="H203" s="71" t="s">
        <v>32</v>
      </c>
      <c r="I203" s="74" t="s">
        <v>14</v>
      </c>
      <c r="J203" s="67" t="s">
        <v>31</v>
      </c>
      <c r="K203" s="67" t="s">
        <v>33</v>
      </c>
      <c r="L203" s="67" t="s">
        <v>17</v>
      </c>
      <c r="M203" s="67" t="s">
        <v>0</v>
      </c>
      <c r="N203" s="113" t="s">
        <v>16</v>
      </c>
      <c r="O203" s="4" t="s">
        <v>6</v>
      </c>
      <c r="P203" s="4" t="s">
        <v>34</v>
      </c>
      <c r="Q203" s="17" t="s">
        <v>2</v>
      </c>
      <c r="R203" s="17" t="s">
        <v>1</v>
      </c>
      <c r="S203" s="17" t="s">
        <v>25</v>
      </c>
      <c r="T203" s="17" t="s">
        <v>26</v>
      </c>
      <c r="U203" s="18" t="s">
        <v>20</v>
      </c>
      <c r="V203" s="18" t="s">
        <v>22</v>
      </c>
      <c r="W203" s="18" t="s">
        <v>24</v>
      </c>
      <c r="X203" s="77" t="s">
        <v>19</v>
      </c>
      <c r="Y203" s="79" t="s">
        <v>23</v>
      </c>
      <c r="Z203" s="125" t="s">
        <v>39</v>
      </c>
    </row>
    <row r="204" spans="1:27" x14ac:dyDescent="0.2">
      <c r="A204" s="108"/>
      <c r="B204" s="111"/>
      <c r="C204" s="111"/>
      <c r="D204" s="111"/>
      <c r="E204" s="72"/>
      <c r="F204" s="72"/>
      <c r="G204" s="72"/>
      <c r="H204" s="72"/>
      <c r="I204" s="75"/>
      <c r="J204" s="68"/>
      <c r="K204" s="68"/>
      <c r="L204" s="68"/>
      <c r="M204" s="68"/>
      <c r="N204" s="114"/>
      <c r="O204" s="34">
        <v>41</v>
      </c>
      <c r="P204" s="34">
        <v>69</v>
      </c>
      <c r="Q204" s="2">
        <v>15</v>
      </c>
      <c r="R204" s="2">
        <f t="shared" ref="R204:R208" si="430">T204-Q204</f>
        <v>6</v>
      </c>
      <c r="S204" s="2">
        <v>24</v>
      </c>
      <c r="T204" s="2">
        <v>21</v>
      </c>
      <c r="U204" s="9">
        <f t="shared" ref="U204" si="431">0.098*J207*M207*0.5*R204</f>
        <v>1.4753760839999999</v>
      </c>
      <c r="V204" s="9">
        <f t="shared" ref="V204" si="432">0.098*J207*M207*Q204</f>
        <v>7.3768804199999991</v>
      </c>
      <c r="W204" s="8">
        <f t="shared" ref="W204" si="433">0.098*J207*M207*(S204-T204)</f>
        <v>1.4753760839999999</v>
      </c>
      <c r="X204" s="78"/>
      <c r="Y204" s="80"/>
      <c r="Z204" s="125"/>
    </row>
    <row r="205" spans="1:27" x14ac:dyDescent="0.2">
      <c r="A205" s="108"/>
      <c r="B205" s="111"/>
      <c r="C205" s="111"/>
      <c r="D205" s="111"/>
      <c r="E205" s="72"/>
      <c r="F205" s="72"/>
      <c r="G205" s="72"/>
      <c r="H205" s="72"/>
      <c r="I205" s="75"/>
      <c r="J205" s="68"/>
      <c r="K205" s="68"/>
      <c r="L205" s="68"/>
      <c r="M205" s="68"/>
      <c r="N205" s="114"/>
      <c r="O205" s="34">
        <v>43</v>
      </c>
      <c r="P205" s="34">
        <v>73</v>
      </c>
      <c r="Q205" s="2">
        <f t="shared" ref="Q205:Q209" si="434">Q204-2</f>
        <v>13</v>
      </c>
      <c r="R205" s="2">
        <f t="shared" si="430"/>
        <v>6</v>
      </c>
      <c r="S205" s="2">
        <v>21</v>
      </c>
      <c r="T205" s="2">
        <v>19</v>
      </c>
      <c r="U205" s="9">
        <f t="shared" ref="U205" si="435">0.098*J207*M207*0.5*R205</f>
        <v>1.4753760839999999</v>
      </c>
      <c r="V205" s="9">
        <f t="shared" ref="V205" si="436">0.098*J207*M207*Q205</f>
        <v>6.3932963639999993</v>
      </c>
      <c r="W205" s="8">
        <f t="shared" ref="W205" si="437">0.098*J207*M207*(S205-T205)</f>
        <v>0.98358405599999987</v>
      </c>
      <c r="X205" s="23">
        <v>0.73263888888888884</v>
      </c>
      <c r="Y205" s="81"/>
      <c r="Z205" s="125"/>
    </row>
    <row r="206" spans="1:27" x14ac:dyDescent="0.2">
      <c r="A206" s="108"/>
      <c r="B206" s="111"/>
      <c r="C206" s="111"/>
      <c r="D206" s="111"/>
      <c r="E206" s="72"/>
      <c r="F206" s="72"/>
      <c r="G206" s="72"/>
      <c r="H206" s="72"/>
      <c r="I206" s="75"/>
      <c r="J206" s="69"/>
      <c r="K206" s="69"/>
      <c r="L206" s="69"/>
      <c r="M206" s="69"/>
      <c r="N206" s="114"/>
      <c r="O206" s="34">
        <v>40</v>
      </c>
      <c r="P206" s="34">
        <v>81</v>
      </c>
      <c r="Q206" s="2">
        <f t="shared" si="434"/>
        <v>11</v>
      </c>
      <c r="R206" s="2">
        <f t="shared" si="430"/>
        <v>6</v>
      </c>
      <c r="S206" s="2">
        <v>19</v>
      </c>
      <c r="T206" s="2">
        <v>17</v>
      </c>
      <c r="U206" s="9">
        <f t="shared" ref="U206" si="438">0.098*J207*M207*0.5*R206</f>
        <v>1.4753760839999999</v>
      </c>
      <c r="V206" s="9">
        <f t="shared" ref="V206" si="439">0.098*J207*M207*Q206</f>
        <v>5.4097123079999996</v>
      </c>
      <c r="W206" s="8">
        <f t="shared" ref="W206" si="440">0.098*J207*M207*(S206-T206)</f>
        <v>0.98358405599999987</v>
      </c>
      <c r="X206" s="84"/>
      <c r="Y206" s="82"/>
      <c r="Z206" s="125"/>
    </row>
    <row r="207" spans="1:27" x14ac:dyDescent="0.2">
      <c r="A207" s="108"/>
      <c r="B207" s="111"/>
      <c r="C207" s="111"/>
      <c r="D207" s="111"/>
      <c r="E207" s="72"/>
      <c r="F207" s="72"/>
      <c r="G207" s="72"/>
      <c r="H207" s="72"/>
      <c r="I207" s="75"/>
      <c r="J207" s="86">
        <f t="shared" ref="J207" si="441">(7*F210)/1000</f>
        <v>0.38602199999999992</v>
      </c>
      <c r="K207" s="89">
        <v>42</v>
      </c>
      <c r="L207" s="92">
        <v>7</v>
      </c>
      <c r="M207" s="92">
        <v>13</v>
      </c>
      <c r="N207" s="114"/>
      <c r="O207" s="34">
        <v>44</v>
      </c>
      <c r="P207" s="34">
        <v>85</v>
      </c>
      <c r="Q207" s="2">
        <f t="shared" si="434"/>
        <v>9</v>
      </c>
      <c r="R207" s="2">
        <f t="shared" si="430"/>
        <v>6</v>
      </c>
      <c r="S207" s="2">
        <v>17</v>
      </c>
      <c r="T207" s="2">
        <v>15</v>
      </c>
      <c r="U207" s="9">
        <f t="shared" ref="U207" si="442">0.098*J207*M207*0.5*R207</f>
        <v>1.4753760839999999</v>
      </c>
      <c r="V207" s="9">
        <f t="shared" ref="V207" si="443">0.098*J207*M207*Q207</f>
        <v>4.4261282519999998</v>
      </c>
      <c r="W207" s="8">
        <f t="shared" ref="W207" si="444">0.098*J207*M207*(S207-T207)</f>
        <v>0.98358405599999987</v>
      </c>
      <c r="X207" s="84"/>
      <c r="Y207" s="82"/>
      <c r="Z207" s="66">
        <f t="shared" ref="Z207" si="445">_xlfn.STDEV.S(R204:R209)</f>
        <v>0.40824829046386302</v>
      </c>
    </row>
    <row r="208" spans="1:27" x14ac:dyDescent="0.2">
      <c r="A208" s="108"/>
      <c r="B208" s="111"/>
      <c r="C208" s="111"/>
      <c r="D208" s="111"/>
      <c r="E208" s="72"/>
      <c r="F208" s="72"/>
      <c r="G208" s="72"/>
      <c r="H208" s="72"/>
      <c r="I208" s="75"/>
      <c r="J208" s="87"/>
      <c r="K208" s="90"/>
      <c r="L208" s="93"/>
      <c r="M208" s="93"/>
      <c r="N208" s="114"/>
      <c r="O208" s="34">
        <v>45</v>
      </c>
      <c r="P208" s="34">
        <v>85</v>
      </c>
      <c r="Q208" s="2">
        <f t="shared" si="434"/>
        <v>7</v>
      </c>
      <c r="R208" s="2">
        <f t="shared" si="430"/>
        <v>6</v>
      </c>
      <c r="S208" s="2">
        <v>15</v>
      </c>
      <c r="T208" s="2">
        <v>13</v>
      </c>
      <c r="U208" s="9">
        <f t="shared" ref="U208" si="446">0.098*J207*M207*0.5*R208</f>
        <v>1.4753760839999999</v>
      </c>
      <c r="V208" s="9">
        <f t="shared" ref="V208" si="447">0.098*J207*M207*Q208</f>
        <v>3.4425441959999996</v>
      </c>
      <c r="W208" s="8">
        <f t="shared" ref="W208" si="448">0.098*J207*M207*(S208-T208)</f>
        <v>0.98358405599999987</v>
      </c>
      <c r="X208" s="84"/>
      <c r="Y208" s="82"/>
      <c r="Z208" s="66"/>
    </row>
    <row r="209" spans="1:27" ht="17" thickBot="1" x14ac:dyDescent="0.25">
      <c r="A209" s="109"/>
      <c r="B209" s="112"/>
      <c r="C209" s="112"/>
      <c r="D209" s="112"/>
      <c r="E209" s="73"/>
      <c r="F209" s="73"/>
      <c r="G209" s="73"/>
      <c r="H209" s="73"/>
      <c r="I209" s="76"/>
      <c r="J209" s="97"/>
      <c r="K209" s="96"/>
      <c r="L209" s="95"/>
      <c r="M209" s="95"/>
      <c r="N209" s="114"/>
      <c r="O209" s="34">
        <v>44</v>
      </c>
      <c r="P209" s="34">
        <v>91</v>
      </c>
      <c r="Q209" s="2">
        <f t="shared" si="434"/>
        <v>5</v>
      </c>
      <c r="R209" s="2">
        <v>7</v>
      </c>
      <c r="S209" s="2">
        <v>14</v>
      </c>
      <c r="T209" s="2">
        <v>12</v>
      </c>
      <c r="U209" s="9">
        <f t="shared" ref="U209" si="449">0.098*J207*M207*0.5*R209</f>
        <v>1.7212720979999998</v>
      </c>
      <c r="V209" s="9">
        <f t="shared" ref="V209" si="450">0.098*J207*M207*Q209</f>
        <v>2.4589601399999998</v>
      </c>
      <c r="W209" s="8">
        <f t="shared" ref="W209" si="451">0.098*J207*M207*(S209-T209)</f>
        <v>0.98358405599999987</v>
      </c>
      <c r="X209" s="84"/>
      <c r="Y209" s="82"/>
      <c r="Z209" s="66"/>
      <c r="AA209" t="s">
        <v>41</v>
      </c>
    </row>
    <row r="210" spans="1:27" x14ac:dyDescent="0.2">
      <c r="A210" s="19">
        <f t="shared" si="405"/>
        <v>14</v>
      </c>
      <c r="B210" s="3" t="s">
        <v>4</v>
      </c>
      <c r="C210" s="3">
        <v>58</v>
      </c>
      <c r="D210" s="3">
        <v>163</v>
      </c>
      <c r="E210" s="3">
        <v>63</v>
      </c>
      <c r="F210" s="3">
        <f t="shared" ref="F210" si="452">IF(B210="M", 50 + 0.91*(D210-152.4), IF(B210="F", 45.5 + 0.91*(D210-152.4), ""))</f>
        <v>55.145999999999994</v>
      </c>
      <c r="G210" s="3">
        <v>119</v>
      </c>
      <c r="H210" s="3">
        <f t="shared" ref="H210" si="453">E210/(D210*10^-2)^2</f>
        <v>23.711844630960893</v>
      </c>
      <c r="I210" s="116" t="s">
        <v>15</v>
      </c>
      <c r="J210" s="70" t="s">
        <v>31</v>
      </c>
      <c r="K210" s="70" t="s">
        <v>33</v>
      </c>
      <c r="L210" s="70" t="s">
        <v>17</v>
      </c>
      <c r="M210" s="70" t="s">
        <v>0</v>
      </c>
      <c r="N210" s="114"/>
      <c r="O210" s="4" t="s">
        <v>6</v>
      </c>
      <c r="P210" s="4" t="s">
        <v>34</v>
      </c>
      <c r="Q210" s="6" t="s">
        <v>2</v>
      </c>
      <c r="R210" s="17" t="s">
        <v>1</v>
      </c>
      <c r="S210" s="17" t="s">
        <v>25</v>
      </c>
      <c r="T210" s="17" t="s">
        <v>26</v>
      </c>
      <c r="U210" s="7" t="s">
        <v>21</v>
      </c>
      <c r="V210" s="7" t="s">
        <v>22</v>
      </c>
      <c r="W210" s="7" t="s">
        <v>24</v>
      </c>
      <c r="X210" s="84"/>
      <c r="Y210" s="82"/>
      <c r="Z210" s="125" t="s">
        <v>39</v>
      </c>
      <c r="AA210" t="s">
        <v>42</v>
      </c>
    </row>
    <row r="211" spans="1:27" x14ac:dyDescent="0.2">
      <c r="A211" s="98"/>
      <c r="B211" s="99"/>
      <c r="C211" s="99"/>
      <c r="D211" s="99"/>
      <c r="E211" s="99"/>
      <c r="F211" s="99"/>
      <c r="G211" s="99"/>
      <c r="H211" s="100"/>
      <c r="I211" s="75"/>
      <c r="J211" s="68"/>
      <c r="K211" s="68"/>
      <c r="L211" s="68"/>
      <c r="M211" s="68"/>
      <c r="N211" s="114"/>
      <c r="O211" s="34">
        <v>39</v>
      </c>
      <c r="P211" s="34">
        <v>88</v>
      </c>
      <c r="Q211" s="2">
        <v>15</v>
      </c>
      <c r="R211" s="2">
        <f t="shared" ref="R211:R216" si="454">T211-Q211</f>
        <v>6</v>
      </c>
      <c r="S211" s="2">
        <v>24</v>
      </c>
      <c r="T211" s="2">
        <v>21</v>
      </c>
      <c r="U211" s="9">
        <f t="shared" ref="U211" si="455">0.098*J214*M214*0.5*R211</f>
        <v>1.896912108</v>
      </c>
      <c r="V211" s="9">
        <f t="shared" ref="V211" si="456">0.098*J214*M214*Q211</f>
        <v>9.4845605399999986</v>
      </c>
      <c r="W211" s="8">
        <f t="shared" ref="W211" si="457">0.098*J214*M214*(S211-T211)</f>
        <v>1.896912108</v>
      </c>
      <c r="X211" s="84"/>
      <c r="Y211" s="82"/>
      <c r="Z211" s="125"/>
    </row>
    <row r="212" spans="1:27" x14ac:dyDescent="0.2">
      <c r="A212" s="101"/>
      <c r="B212" s="102"/>
      <c r="C212" s="102"/>
      <c r="D212" s="102"/>
      <c r="E212" s="102"/>
      <c r="F212" s="102"/>
      <c r="G212" s="102"/>
      <c r="H212" s="103"/>
      <c r="I212" s="75"/>
      <c r="J212" s="68"/>
      <c r="K212" s="68"/>
      <c r="L212" s="68"/>
      <c r="M212" s="68"/>
      <c r="N212" s="114"/>
      <c r="O212" s="34">
        <v>39</v>
      </c>
      <c r="P212" s="34">
        <v>79</v>
      </c>
      <c r="Q212" s="2">
        <f t="shared" ref="Q212:Q216" si="458">Q211-2</f>
        <v>13</v>
      </c>
      <c r="R212" s="2">
        <f t="shared" si="454"/>
        <v>6</v>
      </c>
      <c r="S212" s="2">
        <v>21</v>
      </c>
      <c r="T212" s="2">
        <v>19</v>
      </c>
      <c r="U212" s="9">
        <f t="shared" ref="U212" si="459">0.098*J214*M214*0.5*R212</f>
        <v>1.896912108</v>
      </c>
      <c r="V212" s="9">
        <f t="shared" ref="V212" si="460">0.098*J214*M214*Q212</f>
        <v>8.2199524679999989</v>
      </c>
      <c r="W212" s="8">
        <f t="shared" ref="W212" si="461">0.098*J214*M214*(S212-T212)</f>
        <v>1.2646080719999999</v>
      </c>
      <c r="X212" s="84"/>
      <c r="Y212" s="82"/>
      <c r="Z212" s="125"/>
    </row>
    <row r="213" spans="1:27" x14ac:dyDescent="0.2">
      <c r="A213" s="101"/>
      <c r="B213" s="102"/>
      <c r="C213" s="102"/>
      <c r="D213" s="102"/>
      <c r="E213" s="102"/>
      <c r="F213" s="102"/>
      <c r="G213" s="102"/>
      <c r="H213" s="103"/>
      <c r="I213" s="75"/>
      <c r="J213" s="69"/>
      <c r="K213" s="69"/>
      <c r="L213" s="69"/>
      <c r="M213" s="69"/>
      <c r="N213" s="114"/>
      <c r="O213" s="34">
        <v>40</v>
      </c>
      <c r="P213" s="34">
        <v>94</v>
      </c>
      <c r="Q213" s="2">
        <f t="shared" si="458"/>
        <v>11</v>
      </c>
      <c r="R213" s="2">
        <f t="shared" si="454"/>
        <v>7</v>
      </c>
      <c r="S213" s="2">
        <v>20</v>
      </c>
      <c r="T213" s="2">
        <v>18</v>
      </c>
      <c r="U213" s="9">
        <f t="shared" ref="U213" si="462">0.098*J214*M214*0.5*R213</f>
        <v>2.2130641259999999</v>
      </c>
      <c r="V213" s="9">
        <f t="shared" ref="V213" si="463">0.098*J214*M214*Q213</f>
        <v>6.9553443959999992</v>
      </c>
      <c r="W213" s="8">
        <f t="shared" ref="W213" si="464">0.098*J214*M214*(S213-T213)</f>
        <v>1.2646080719999999</v>
      </c>
      <c r="X213" s="84"/>
      <c r="Y213" s="82"/>
      <c r="Z213" s="125"/>
    </row>
    <row r="214" spans="1:27" x14ac:dyDescent="0.2">
      <c r="A214" s="101"/>
      <c r="B214" s="102"/>
      <c r="C214" s="102"/>
      <c r="D214" s="102"/>
      <c r="E214" s="102"/>
      <c r="F214" s="102"/>
      <c r="G214" s="102"/>
      <c r="H214" s="103"/>
      <c r="I214" s="75"/>
      <c r="J214" s="86">
        <f t="shared" ref="J214" si="465">(9*F210)/1000</f>
        <v>0.49631399999999998</v>
      </c>
      <c r="K214" s="89">
        <v>38</v>
      </c>
      <c r="L214" s="92">
        <v>7</v>
      </c>
      <c r="M214" s="92">
        <v>13</v>
      </c>
      <c r="N214" s="114"/>
      <c r="O214" s="34">
        <v>42</v>
      </c>
      <c r="P214" s="34">
        <v>91</v>
      </c>
      <c r="Q214" s="2">
        <f t="shared" si="458"/>
        <v>9</v>
      </c>
      <c r="R214" s="2">
        <f t="shared" si="454"/>
        <v>7</v>
      </c>
      <c r="S214" s="2">
        <v>18</v>
      </c>
      <c r="T214" s="2">
        <v>16</v>
      </c>
      <c r="U214" s="9">
        <f t="shared" ref="U214" si="466">0.098*J214*M214*0.5*R214</f>
        <v>2.2130641259999999</v>
      </c>
      <c r="V214" s="9">
        <f t="shared" ref="V214" si="467">0.098*J214*M214*Q214</f>
        <v>5.6907363239999995</v>
      </c>
      <c r="W214" s="8">
        <f t="shared" ref="W214" si="468">0.098*J214*M214*(S214-T214)</f>
        <v>1.2646080719999999</v>
      </c>
      <c r="X214" s="84"/>
      <c r="Y214" s="82"/>
      <c r="Z214" s="101">
        <f t="shared" ref="Z214" si="469">_xlfn.STDEV.S(R211:R216)</f>
        <v>0.51639777949432231</v>
      </c>
    </row>
    <row r="215" spans="1:27" x14ac:dyDescent="0.2">
      <c r="A215" s="101"/>
      <c r="B215" s="102"/>
      <c r="C215" s="102"/>
      <c r="D215" s="102"/>
      <c r="E215" s="102"/>
      <c r="F215" s="102"/>
      <c r="G215" s="102"/>
      <c r="H215" s="103"/>
      <c r="I215" s="75"/>
      <c r="J215" s="87"/>
      <c r="K215" s="90"/>
      <c r="L215" s="93"/>
      <c r="M215" s="93"/>
      <c r="N215" s="114"/>
      <c r="O215" s="34">
        <v>42</v>
      </c>
      <c r="P215" s="34">
        <v>86</v>
      </c>
      <c r="Q215" s="2">
        <f t="shared" si="458"/>
        <v>7</v>
      </c>
      <c r="R215" s="2">
        <f t="shared" si="454"/>
        <v>7</v>
      </c>
      <c r="S215" s="2">
        <v>16</v>
      </c>
      <c r="T215" s="2">
        <v>14</v>
      </c>
      <c r="U215" s="9">
        <f t="shared" ref="U215" si="470">0.098*J214*M214*0.5*R215</f>
        <v>2.2130641259999999</v>
      </c>
      <c r="V215" s="9">
        <f t="shared" ref="V215" si="471">0.098*J214*M214*Q215</f>
        <v>4.4261282519999998</v>
      </c>
      <c r="W215" s="8">
        <f t="shared" ref="W215" si="472">0.098*J214*M214*(S215-T215)</f>
        <v>1.2646080719999999</v>
      </c>
      <c r="X215" s="84"/>
      <c r="Y215" s="82"/>
      <c r="Z215" s="101"/>
    </row>
    <row r="216" spans="1:27" ht="17" thickBot="1" x14ac:dyDescent="0.25">
      <c r="A216" s="104"/>
      <c r="B216" s="105"/>
      <c r="C216" s="105"/>
      <c r="D216" s="105"/>
      <c r="E216" s="105"/>
      <c r="F216" s="105"/>
      <c r="G216" s="105"/>
      <c r="H216" s="106"/>
      <c r="I216" s="117"/>
      <c r="J216" s="88"/>
      <c r="K216" s="96"/>
      <c r="L216" s="95"/>
      <c r="M216" s="95"/>
      <c r="N216" s="115"/>
      <c r="O216" s="34">
        <v>42</v>
      </c>
      <c r="P216" s="34">
        <v>82</v>
      </c>
      <c r="Q216" s="2">
        <f t="shared" si="458"/>
        <v>5</v>
      </c>
      <c r="R216" s="2">
        <f t="shared" si="454"/>
        <v>7</v>
      </c>
      <c r="S216" s="2">
        <v>15</v>
      </c>
      <c r="T216" s="2">
        <v>12</v>
      </c>
      <c r="U216" s="9">
        <f t="shared" ref="U216" si="473">0.098*J214*M214*0.5*R216</f>
        <v>2.2130641259999999</v>
      </c>
      <c r="V216" s="9">
        <f t="shared" ref="V216" si="474">0.098*J214*M214*Q216</f>
        <v>3.1615201799999997</v>
      </c>
      <c r="W216" s="8">
        <f t="shared" ref="W216" si="475">0.098*J214*M214*(S216-T216)</f>
        <v>1.896912108</v>
      </c>
      <c r="X216" s="85"/>
      <c r="Y216" s="83"/>
      <c r="Z216" s="101"/>
    </row>
    <row r="217" spans="1:27" x14ac:dyDescent="0.2">
      <c r="A217" s="107" t="s">
        <v>8</v>
      </c>
      <c r="B217" s="110" t="s">
        <v>3</v>
      </c>
      <c r="C217" s="110" t="s">
        <v>7</v>
      </c>
      <c r="D217" s="110" t="s">
        <v>9</v>
      </c>
      <c r="E217" s="71" t="s">
        <v>11</v>
      </c>
      <c r="F217" s="71" t="s">
        <v>10</v>
      </c>
      <c r="G217" s="71" t="s">
        <v>12</v>
      </c>
      <c r="H217" s="71" t="s">
        <v>32</v>
      </c>
      <c r="I217" s="74" t="s">
        <v>14</v>
      </c>
      <c r="J217" s="67" t="s">
        <v>31</v>
      </c>
      <c r="K217" s="67" t="s">
        <v>33</v>
      </c>
      <c r="L217" s="67" t="s">
        <v>17</v>
      </c>
      <c r="M217" s="67" t="s">
        <v>0</v>
      </c>
      <c r="N217" s="113" t="s">
        <v>16</v>
      </c>
      <c r="O217" s="4" t="s">
        <v>6</v>
      </c>
      <c r="P217" s="4" t="s">
        <v>34</v>
      </c>
      <c r="Q217" s="17" t="s">
        <v>2</v>
      </c>
      <c r="R217" s="17" t="s">
        <v>1</v>
      </c>
      <c r="S217" s="17" t="s">
        <v>25</v>
      </c>
      <c r="T217" s="17" t="s">
        <v>26</v>
      </c>
      <c r="U217" s="18" t="s">
        <v>20</v>
      </c>
      <c r="V217" s="18" t="s">
        <v>22</v>
      </c>
      <c r="W217" s="18" t="s">
        <v>24</v>
      </c>
      <c r="X217" s="77" t="s">
        <v>19</v>
      </c>
      <c r="Y217" s="79" t="s">
        <v>23</v>
      </c>
      <c r="Z217" s="125" t="s">
        <v>39</v>
      </c>
    </row>
    <row r="218" spans="1:27" x14ac:dyDescent="0.2">
      <c r="A218" s="108"/>
      <c r="B218" s="111"/>
      <c r="C218" s="111"/>
      <c r="D218" s="111"/>
      <c r="E218" s="72"/>
      <c r="F218" s="72"/>
      <c r="G218" s="72"/>
      <c r="H218" s="72"/>
      <c r="I218" s="75"/>
      <c r="J218" s="68"/>
      <c r="K218" s="68"/>
      <c r="L218" s="68"/>
      <c r="M218" s="68"/>
      <c r="N218" s="114"/>
      <c r="O218" s="34">
        <v>38</v>
      </c>
      <c r="P218" s="34"/>
      <c r="Q218" s="2">
        <v>15</v>
      </c>
      <c r="R218" s="2">
        <f t="shared" ref="R218:R223" si="476">T218-Q218</f>
        <v>7</v>
      </c>
      <c r="S218" s="2">
        <v>24</v>
      </c>
      <c r="T218" s="2">
        <v>22</v>
      </c>
      <c r="U218" s="9">
        <f t="shared" ref="U218" si="477">0.098*J221*M221*0.5*R218</f>
        <v>1.863718626</v>
      </c>
      <c r="V218" s="9">
        <f t="shared" ref="V218" si="478">0.098*J221*M221*Q218</f>
        <v>7.9873655400000008</v>
      </c>
      <c r="W218" s="8">
        <f t="shared" ref="W218" si="479">0.098*J221*M221*(S218-T218)</f>
        <v>1.0649820720000001</v>
      </c>
      <c r="X218" s="78"/>
      <c r="Y218" s="80"/>
      <c r="Z218" s="125"/>
    </row>
    <row r="219" spans="1:27" x14ac:dyDescent="0.2">
      <c r="A219" s="108"/>
      <c r="B219" s="111"/>
      <c r="C219" s="111"/>
      <c r="D219" s="111"/>
      <c r="E219" s="72"/>
      <c r="F219" s="72"/>
      <c r="G219" s="72"/>
      <c r="H219" s="72"/>
      <c r="I219" s="75"/>
      <c r="J219" s="68"/>
      <c r="K219" s="68"/>
      <c r="L219" s="68"/>
      <c r="M219" s="68"/>
      <c r="N219" s="114"/>
      <c r="O219" s="34">
        <v>39</v>
      </c>
      <c r="P219" s="34">
        <v>84</v>
      </c>
      <c r="Q219" s="2">
        <f t="shared" ref="Q219:Q223" si="480">Q218-2</f>
        <v>13</v>
      </c>
      <c r="R219" s="2">
        <f t="shared" si="476"/>
        <v>8</v>
      </c>
      <c r="S219" s="2">
        <v>26</v>
      </c>
      <c r="T219" s="2">
        <v>21</v>
      </c>
      <c r="U219" s="9">
        <f t="shared" ref="U219" si="481">0.098*J221*M221*0.5*R219</f>
        <v>2.1299641440000001</v>
      </c>
      <c r="V219" s="9">
        <f t="shared" ref="V219" si="482">0.098*J221*M221*Q219</f>
        <v>6.9223834680000005</v>
      </c>
      <c r="W219" s="8">
        <f t="shared" ref="W219" si="483">0.098*J221*M221*(S219-T219)</f>
        <v>2.6624551800000003</v>
      </c>
      <c r="X219" s="23">
        <v>0.79166666666666663</v>
      </c>
      <c r="Y219" s="81"/>
      <c r="Z219" s="125"/>
    </row>
    <row r="220" spans="1:27" x14ac:dyDescent="0.2">
      <c r="A220" s="108"/>
      <c r="B220" s="111"/>
      <c r="C220" s="111"/>
      <c r="D220" s="111"/>
      <c r="E220" s="72"/>
      <c r="F220" s="72"/>
      <c r="G220" s="72"/>
      <c r="H220" s="72"/>
      <c r="I220" s="75"/>
      <c r="J220" s="69"/>
      <c r="K220" s="69"/>
      <c r="L220" s="69"/>
      <c r="M220" s="69"/>
      <c r="N220" s="114"/>
      <c r="O220" s="34">
        <v>40</v>
      </c>
      <c r="P220" s="34">
        <v>104</v>
      </c>
      <c r="Q220" s="2">
        <f t="shared" si="480"/>
        <v>11</v>
      </c>
      <c r="R220" s="2">
        <f t="shared" si="476"/>
        <v>7</v>
      </c>
      <c r="S220" s="2">
        <v>24</v>
      </c>
      <c r="T220" s="2">
        <v>18</v>
      </c>
      <c r="U220" s="9">
        <f t="shared" ref="U220" si="484">0.098*J221*M221*0.5*R220</f>
        <v>1.863718626</v>
      </c>
      <c r="V220" s="9">
        <f t="shared" ref="V220" si="485">0.098*J221*M221*Q220</f>
        <v>5.8574013960000002</v>
      </c>
      <c r="W220" s="8">
        <f t="shared" ref="W220" si="486">0.098*J221*M221*(S220-T220)</f>
        <v>3.1949462159999999</v>
      </c>
      <c r="X220" s="84"/>
      <c r="Y220" s="82"/>
      <c r="Z220" s="125"/>
    </row>
    <row r="221" spans="1:27" x14ac:dyDescent="0.2">
      <c r="A221" s="108"/>
      <c r="B221" s="111"/>
      <c r="C221" s="111"/>
      <c r="D221" s="111"/>
      <c r="E221" s="72"/>
      <c r="F221" s="72"/>
      <c r="G221" s="72"/>
      <c r="H221" s="72"/>
      <c r="I221" s="75"/>
      <c r="J221" s="86">
        <f t="shared" ref="J221" si="487">(7*F224)/1000</f>
        <v>0.49396200000000001</v>
      </c>
      <c r="K221" s="89">
        <v>39</v>
      </c>
      <c r="L221" s="92">
        <v>8</v>
      </c>
      <c r="M221" s="92">
        <v>11</v>
      </c>
      <c r="N221" s="114"/>
      <c r="O221" s="34">
        <v>40</v>
      </c>
      <c r="P221" s="34">
        <v>73</v>
      </c>
      <c r="Q221" s="2">
        <f t="shared" si="480"/>
        <v>9</v>
      </c>
      <c r="R221" s="2">
        <f t="shared" si="476"/>
        <v>7</v>
      </c>
      <c r="S221" s="2">
        <v>23</v>
      </c>
      <c r="T221" s="2">
        <v>16</v>
      </c>
      <c r="U221" s="9">
        <f t="shared" ref="U221" si="488">0.098*J221*M221*0.5*R221</f>
        <v>1.863718626</v>
      </c>
      <c r="V221" s="9">
        <f t="shared" ref="V221" si="489">0.098*J221*M221*Q221</f>
        <v>4.7924193239999999</v>
      </c>
      <c r="W221" s="8">
        <f t="shared" ref="W221" si="490">0.098*J221*M221*(S221-T221)</f>
        <v>3.7274372520000001</v>
      </c>
      <c r="X221" s="84"/>
      <c r="Y221" s="82"/>
      <c r="Z221" s="66">
        <f t="shared" ref="Z221" si="491">_xlfn.STDEV.S(R218:R223)</f>
        <v>0.51639777949432231</v>
      </c>
    </row>
    <row r="222" spans="1:27" x14ac:dyDescent="0.2">
      <c r="A222" s="108"/>
      <c r="B222" s="111"/>
      <c r="C222" s="111"/>
      <c r="D222" s="111"/>
      <c r="E222" s="72"/>
      <c r="F222" s="72"/>
      <c r="G222" s="72"/>
      <c r="H222" s="72"/>
      <c r="I222" s="75"/>
      <c r="J222" s="87"/>
      <c r="K222" s="90"/>
      <c r="L222" s="93"/>
      <c r="M222" s="93"/>
      <c r="N222" s="114"/>
      <c r="O222" s="34">
        <v>40</v>
      </c>
      <c r="P222" s="34">
        <v>73</v>
      </c>
      <c r="Q222" s="2">
        <f t="shared" si="480"/>
        <v>7</v>
      </c>
      <c r="R222" s="2">
        <f t="shared" si="476"/>
        <v>7</v>
      </c>
      <c r="S222" s="2">
        <v>22</v>
      </c>
      <c r="T222" s="2">
        <v>14</v>
      </c>
      <c r="U222" s="9">
        <f t="shared" ref="U222" si="492">0.098*J221*M221*0.5*R222</f>
        <v>1.863718626</v>
      </c>
      <c r="V222" s="9">
        <f t="shared" ref="V222" si="493">0.098*J221*M221*Q222</f>
        <v>3.7274372520000001</v>
      </c>
      <c r="W222" s="8">
        <f t="shared" ref="W222" si="494">0.098*J221*M221*(S222-T222)</f>
        <v>4.2599282880000002</v>
      </c>
      <c r="X222" s="84"/>
      <c r="Y222" s="82"/>
      <c r="Z222" s="66"/>
    </row>
    <row r="223" spans="1:27" ht="17" thickBot="1" x14ac:dyDescent="0.25">
      <c r="A223" s="109"/>
      <c r="B223" s="112"/>
      <c r="C223" s="112"/>
      <c r="D223" s="112"/>
      <c r="E223" s="73"/>
      <c r="F223" s="73"/>
      <c r="G223" s="73"/>
      <c r="H223" s="73"/>
      <c r="I223" s="76"/>
      <c r="J223" s="97"/>
      <c r="K223" s="96"/>
      <c r="L223" s="95"/>
      <c r="M223" s="95"/>
      <c r="N223" s="114"/>
      <c r="O223" s="34">
        <v>41</v>
      </c>
      <c r="P223" s="34">
        <v>74</v>
      </c>
      <c r="Q223" s="2">
        <f t="shared" si="480"/>
        <v>5</v>
      </c>
      <c r="R223" s="2">
        <f t="shared" si="476"/>
        <v>8</v>
      </c>
      <c r="S223" s="2">
        <v>21</v>
      </c>
      <c r="T223" s="2">
        <v>13</v>
      </c>
      <c r="U223" s="9">
        <f t="shared" ref="U223" si="495">0.098*J221*M221*0.5*R223</f>
        <v>2.1299641440000001</v>
      </c>
      <c r="V223" s="9">
        <f t="shared" ref="V223" si="496">0.098*J221*M221*Q223</f>
        <v>2.6624551800000003</v>
      </c>
      <c r="W223" s="8">
        <f t="shared" ref="W223" si="497">0.098*J221*M221*(S223-T223)</f>
        <v>4.2599282880000002</v>
      </c>
      <c r="X223" s="84"/>
      <c r="Y223" s="82"/>
      <c r="Z223" s="66"/>
      <c r="AA223" t="s">
        <v>41</v>
      </c>
    </row>
    <row r="224" spans="1:27" x14ac:dyDescent="0.2">
      <c r="A224" s="19">
        <f>A210+1</f>
        <v>15</v>
      </c>
      <c r="B224" s="3" t="s">
        <v>5</v>
      </c>
      <c r="C224" s="3">
        <v>76</v>
      </c>
      <c r="D224" s="3">
        <v>175</v>
      </c>
      <c r="E224" s="3">
        <v>95</v>
      </c>
      <c r="F224" s="3">
        <f t="shared" ref="F224" si="498">IF(B224="M", 50 + 0.91*(D224-152.4), IF(B224="F", 45.5 + 0.91*(D224-152.4), ""))</f>
        <v>70.566000000000003</v>
      </c>
      <c r="G224" s="3">
        <v>116</v>
      </c>
      <c r="H224" s="3">
        <f t="shared" ref="H224" si="499">E224/(D224*10^-2)^2</f>
        <v>31.020408163265305</v>
      </c>
      <c r="I224" s="116" t="s">
        <v>15</v>
      </c>
      <c r="J224" s="70" t="s">
        <v>31</v>
      </c>
      <c r="K224" s="70" t="s">
        <v>33</v>
      </c>
      <c r="L224" s="70" t="s">
        <v>17</v>
      </c>
      <c r="M224" s="70" t="s">
        <v>0</v>
      </c>
      <c r="N224" s="114"/>
      <c r="O224" s="4" t="s">
        <v>6</v>
      </c>
      <c r="P224" s="4" t="s">
        <v>34</v>
      </c>
      <c r="Q224" s="6" t="s">
        <v>2</v>
      </c>
      <c r="R224" s="17" t="s">
        <v>1</v>
      </c>
      <c r="S224" s="17" t="s">
        <v>25</v>
      </c>
      <c r="T224" s="17" t="s">
        <v>26</v>
      </c>
      <c r="U224" s="7" t="s">
        <v>21</v>
      </c>
      <c r="V224" s="7" t="s">
        <v>22</v>
      </c>
      <c r="W224" s="7" t="s">
        <v>24</v>
      </c>
      <c r="X224" s="84"/>
      <c r="Y224" s="82"/>
      <c r="Z224" s="125" t="s">
        <v>39</v>
      </c>
      <c r="AA224" t="s">
        <v>42</v>
      </c>
    </row>
    <row r="225" spans="1:27" x14ac:dyDescent="0.2">
      <c r="A225" s="98"/>
      <c r="B225" s="99"/>
      <c r="C225" s="99"/>
      <c r="D225" s="99"/>
      <c r="E225" s="99"/>
      <c r="F225" s="99"/>
      <c r="G225" s="99"/>
      <c r="H225" s="100"/>
      <c r="I225" s="75"/>
      <c r="J225" s="68"/>
      <c r="K225" s="68"/>
      <c r="L225" s="68"/>
      <c r="M225" s="68"/>
      <c r="N225" s="114"/>
      <c r="O225" s="34">
        <v>44</v>
      </c>
      <c r="P225" s="34"/>
      <c r="Q225" s="2">
        <v>15</v>
      </c>
      <c r="R225" s="2">
        <f t="shared" ref="R225:R230" si="500">T225-Q225</f>
        <v>11</v>
      </c>
      <c r="S225" s="2">
        <v>37</v>
      </c>
      <c r="T225" s="2">
        <v>26</v>
      </c>
      <c r="U225" s="2">
        <f t="shared" ref="U225" si="501">0.098*J228*M228*0.5*R225</f>
        <v>4.4501036580000006</v>
      </c>
      <c r="V225" s="10">
        <f t="shared" ref="V225" si="502">0.098*J228*M228*Q225</f>
        <v>12.136646340000002</v>
      </c>
      <c r="W225" s="2">
        <f t="shared" ref="W225" si="503">0.098*J228*M228*(S225-T225)</f>
        <v>8.9002073160000013</v>
      </c>
      <c r="X225" s="84"/>
      <c r="Y225" s="82"/>
      <c r="Z225" s="125"/>
    </row>
    <row r="226" spans="1:27" x14ac:dyDescent="0.2">
      <c r="A226" s="101"/>
      <c r="B226" s="102"/>
      <c r="C226" s="102"/>
      <c r="D226" s="102"/>
      <c r="E226" s="102"/>
      <c r="F226" s="102"/>
      <c r="G226" s="102"/>
      <c r="H226" s="103"/>
      <c r="I226" s="75"/>
      <c r="J226" s="68"/>
      <c r="K226" s="68"/>
      <c r="L226" s="68"/>
      <c r="M226" s="68"/>
      <c r="N226" s="114"/>
      <c r="O226" s="34">
        <v>42</v>
      </c>
      <c r="P226" s="34">
        <v>67</v>
      </c>
      <c r="Q226" s="2">
        <f t="shared" ref="Q226:Q230" si="504">Q225-2</f>
        <v>13</v>
      </c>
      <c r="R226" s="2">
        <f t="shared" si="500"/>
        <v>10</v>
      </c>
      <c r="S226" s="2">
        <v>34</v>
      </c>
      <c r="T226" s="2">
        <v>23</v>
      </c>
      <c r="U226" s="2">
        <f t="shared" ref="U226" si="505">0.098*J228*M228*0.5*R226</f>
        <v>4.0455487800000007</v>
      </c>
      <c r="V226" s="10">
        <f t="shared" ref="V226" si="506">0.098*J228*M228*Q226</f>
        <v>10.518426828000001</v>
      </c>
      <c r="W226" s="2">
        <f t="shared" ref="W226" si="507">0.098*J228*M228*(S226-T226)</f>
        <v>8.9002073160000013</v>
      </c>
      <c r="X226" s="84"/>
      <c r="Y226" s="82"/>
      <c r="Z226" s="125"/>
    </row>
    <row r="227" spans="1:27" x14ac:dyDescent="0.2">
      <c r="A227" s="101"/>
      <c r="B227" s="102"/>
      <c r="C227" s="102"/>
      <c r="D227" s="102"/>
      <c r="E227" s="102"/>
      <c r="F227" s="102"/>
      <c r="G227" s="102"/>
      <c r="H227" s="103"/>
      <c r="I227" s="75"/>
      <c r="J227" s="69"/>
      <c r="K227" s="69"/>
      <c r="L227" s="69"/>
      <c r="M227" s="69"/>
      <c r="N227" s="114"/>
      <c r="O227" s="34">
        <v>45</v>
      </c>
      <c r="P227" s="34">
        <v>98</v>
      </c>
      <c r="Q227" s="2">
        <f t="shared" si="504"/>
        <v>11</v>
      </c>
      <c r="R227" s="2">
        <f t="shared" si="500"/>
        <v>10</v>
      </c>
      <c r="S227" s="2">
        <v>30</v>
      </c>
      <c r="T227" s="2">
        <v>21</v>
      </c>
      <c r="U227" s="2">
        <f t="shared" ref="U227" si="508">0.098*J228*M228*0.5*R227</f>
        <v>4.0455487800000007</v>
      </c>
      <c r="V227" s="10">
        <f t="shared" ref="V227" si="509">0.098*J228*M228*Q227</f>
        <v>8.9002073160000013</v>
      </c>
      <c r="W227" s="2">
        <f t="shared" ref="W227" si="510">0.098*J228*M228*(S227-T227)</f>
        <v>7.2819878040000008</v>
      </c>
      <c r="X227" s="84"/>
      <c r="Y227" s="82"/>
      <c r="Z227" s="125"/>
    </row>
    <row r="228" spans="1:27" x14ac:dyDescent="0.2">
      <c r="A228" s="101"/>
      <c r="B228" s="102"/>
      <c r="C228" s="102"/>
      <c r="D228" s="102"/>
      <c r="E228" s="102"/>
      <c r="F228" s="102"/>
      <c r="G228" s="102"/>
      <c r="H228" s="103"/>
      <c r="I228" s="75"/>
      <c r="J228" s="86">
        <f t="shared" ref="J228" si="511">(9*F224)/1000</f>
        <v>0.63509400000000005</v>
      </c>
      <c r="K228" s="89">
        <v>40</v>
      </c>
      <c r="L228" s="92">
        <v>8</v>
      </c>
      <c r="M228" s="92">
        <v>13</v>
      </c>
      <c r="N228" s="114"/>
      <c r="O228" s="34">
        <v>45</v>
      </c>
      <c r="P228" s="34">
        <v>103</v>
      </c>
      <c r="Q228" s="2">
        <f t="shared" si="504"/>
        <v>9</v>
      </c>
      <c r="R228" s="2">
        <f t="shared" si="500"/>
        <v>9</v>
      </c>
      <c r="S228" s="2">
        <v>28</v>
      </c>
      <c r="T228" s="2">
        <v>18</v>
      </c>
      <c r="U228" s="2">
        <f t="shared" ref="U228" si="512">0.098*J228*M228*0.5*R228</f>
        <v>3.6409939020000004</v>
      </c>
      <c r="V228" s="10">
        <f t="shared" ref="V228" si="513">0.098*J228*M228*Q228</f>
        <v>7.2819878040000008</v>
      </c>
      <c r="W228" s="2">
        <f t="shared" ref="W228" si="514">0.098*J228*M228*(S228-T228)</f>
        <v>8.0910975600000015</v>
      </c>
      <c r="X228" s="84"/>
      <c r="Y228" s="82"/>
      <c r="Z228" s="101">
        <f t="shared" ref="Z228" si="515">_xlfn.STDEV.S(R225:R230)</f>
        <v>0.63245553203367588</v>
      </c>
    </row>
    <row r="229" spans="1:27" x14ac:dyDescent="0.2">
      <c r="A229" s="101"/>
      <c r="B229" s="102"/>
      <c r="C229" s="102"/>
      <c r="D229" s="102"/>
      <c r="E229" s="102"/>
      <c r="F229" s="102"/>
      <c r="G229" s="102"/>
      <c r="H229" s="103"/>
      <c r="I229" s="75"/>
      <c r="J229" s="87"/>
      <c r="K229" s="90"/>
      <c r="L229" s="93"/>
      <c r="M229" s="93"/>
      <c r="N229" s="114"/>
      <c r="O229" s="34">
        <v>44</v>
      </c>
      <c r="P229" s="34">
        <v>97</v>
      </c>
      <c r="Q229" s="2">
        <f t="shared" si="504"/>
        <v>7</v>
      </c>
      <c r="R229" s="2">
        <f t="shared" si="500"/>
        <v>10</v>
      </c>
      <c r="S229" s="2">
        <v>26</v>
      </c>
      <c r="T229" s="2">
        <v>17</v>
      </c>
      <c r="U229" s="2">
        <f t="shared" ref="U229" si="516">0.098*J228*M228*0.5*R229</f>
        <v>4.0455487800000007</v>
      </c>
      <c r="V229" s="10">
        <f t="shared" ref="V229" si="517">0.098*J228*M228*Q229</f>
        <v>5.6637682920000012</v>
      </c>
      <c r="W229" s="2">
        <f t="shared" ref="W229" si="518">0.098*J228*M228*(S229-T229)</f>
        <v>7.2819878040000008</v>
      </c>
      <c r="X229" s="84"/>
      <c r="Y229" s="82"/>
      <c r="Z229" s="101"/>
    </row>
    <row r="230" spans="1:27" ht="17" thickBot="1" x14ac:dyDescent="0.25">
      <c r="A230" s="104"/>
      <c r="B230" s="105"/>
      <c r="C230" s="105"/>
      <c r="D230" s="105"/>
      <c r="E230" s="105"/>
      <c r="F230" s="105"/>
      <c r="G230" s="105"/>
      <c r="H230" s="106"/>
      <c r="I230" s="117"/>
      <c r="J230" s="88"/>
      <c r="K230" s="91"/>
      <c r="L230" s="94"/>
      <c r="M230" s="94"/>
      <c r="N230" s="115"/>
      <c r="O230" s="35">
        <v>45</v>
      </c>
      <c r="P230" s="35">
        <v>94</v>
      </c>
      <c r="Q230" s="20">
        <f t="shared" si="504"/>
        <v>5</v>
      </c>
      <c r="R230" s="2">
        <f t="shared" si="500"/>
        <v>10</v>
      </c>
      <c r="S230" s="20">
        <v>25</v>
      </c>
      <c r="T230" s="20">
        <v>15</v>
      </c>
      <c r="U230" s="20">
        <f t="shared" ref="U230" si="519">0.098*J228*M228*0.5*R230</f>
        <v>4.0455487800000007</v>
      </c>
      <c r="V230" s="21">
        <f t="shared" ref="V230" si="520">0.098*J228*M228*Q230</f>
        <v>4.0455487800000007</v>
      </c>
      <c r="W230" s="20">
        <f t="shared" ref="W230" si="521">0.098*J228*M228*(S230-T230)</f>
        <v>8.0910975600000015</v>
      </c>
      <c r="X230" s="85"/>
      <c r="Y230" s="83"/>
      <c r="Z230" s="101"/>
    </row>
    <row r="231" spans="1:27" x14ac:dyDescent="0.2">
      <c r="A231" s="107" t="s">
        <v>8</v>
      </c>
      <c r="B231" s="110" t="s">
        <v>3</v>
      </c>
      <c r="C231" s="110" t="s">
        <v>7</v>
      </c>
      <c r="D231" s="110" t="s">
        <v>9</v>
      </c>
      <c r="E231" s="71" t="s">
        <v>11</v>
      </c>
      <c r="F231" s="71" t="s">
        <v>10</v>
      </c>
      <c r="G231" s="71" t="s">
        <v>12</v>
      </c>
      <c r="H231" s="71" t="s">
        <v>32</v>
      </c>
      <c r="I231" s="74" t="s">
        <v>14</v>
      </c>
      <c r="J231" s="67" t="s">
        <v>31</v>
      </c>
      <c r="K231" s="67" t="s">
        <v>33</v>
      </c>
      <c r="L231" s="67" t="s">
        <v>17</v>
      </c>
      <c r="M231" s="67" t="s">
        <v>0</v>
      </c>
      <c r="N231" s="113" t="s">
        <v>16</v>
      </c>
      <c r="O231" s="4" t="s">
        <v>6</v>
      </c>
      <c r="P231" s="4" t="s">
        <v>34</v>
      </c>
      <c r="Q231" s="17" t="s">
        <v>2</v>
      </c>
      <c r="R231" s="17" t="s">
        <v>1</v>
      </c>
      <c r="S231" s="17" t="s">
        <v>25</v>
      </c>
      <c r="T231" s="17" t="s">
        <v>26</v>
      </c>
      <c r="U231" s="18" t="s">
        <v>20</v>
      </c>
      <c r="V231" s="18" t="s">
        <v>22</v>
      </c>
      <c r="W231" s="18" t="s">
        <v>24</v>
      </c>
      <c r="X231" s="77" t="s">
        <v>19</v>
      </c>
      <c r="Y231" s="79" t="s">
        <v>23</v>
      </c>
      <c r="Z231" s="125" t="s">
        <v>39</v>
      </c>
    </row>
    <row r="232" spans="1:27" x14ac:dyDescent="0.2">
      <c r="A232" s="108"/>
      <c r="B232" s="111"/>
      <c r="C232" s="111"/>
      <c r="D232" s="111"/>
      <c r="E232" s="72"/>
      <c r="F232" s="72"/>
      <c r="G232" s="72"/>
      <c r="H232" s="72"/>
      <c r="I232" s="75"/>
      <c r="J232" s="68"/>
      <c r="K232" s="68"/>
      <c r="L232" s="68"/>
      <c r="M232" s="68"/>
      <c r="N232" s="114"/>
      <c r="O232" s="34">
        <v>39</v>
      </c>
      <c r="P232" s="34">
        <v>55</v>
      </c>
      <c r="Q232" s="2">
        <v>15</v>
      </c>
      <c r="R232" s="2">
        <f t="shared" ref="R232:R237" si="522">T232-Q232</f>
        <v>9</v>
      </c>
      <c r="S232" s="2">
        <v>32</v>
      </c>
      <c r="T232" s="2">
        <v>24</v>
      </c>
      <c r="U232" s="9">
        <f t="shared" ref="U232" si="523">0.098*J235*M235*0.5*R232</f>
        <v>2.3188309200000004</v>
      </c>
      <c r="V232" s="9">
        <f t="shared" ref="V232" si="524">0.098*J235*M235*Q232</f>
        <v>7.7294364000000018</v>
      </c>
      <c r="W232" s="8">
        <f t="shared" ref="W232" si="525">0.098*J235*M235*(S232-T232)</f>
        <v>4.1223660800000008</v>
      </c>
      <c r="X232" s="78"/>
      <c r="Y232" s="80"/>
      <c r="Z232" s="125"/>
    </row>
    <row r="233" spans="1:27" x14ac:dyDescent="0.2">
      <c r="A233" s="108"/>
      <c r="B233" s="111"/>
      <c r="C233" s="111"/>
      <c r="D233" s="111"/>
      <c r="E233" s="72"/>
      <c r="F233" s="72"/>
      <c r="G233" s="72"/>
      <c r="H233" s="72"/>
      <c r="I233" s="75"/>
      <c r="J233" s="68"/>
      <c r="K233" s="68"/>
      <c r="L233" s="68"/>
      <c r="M233" s="68"/>
      <c r="N233" s="114"/>
      <c r="O233" s="34">
        <v>40</v>
      </c>
      <c r="P233" s="34">
        <v>58</v>
      </c>
      <c r="Q233" s="2">
        <f t="shared" ref="Q233:Q237" si="526">Q232-2</f>
        <v>13</v>
      </c>
      <c r="R233" s="2">
        <f t="shared" si="522"/>
        <v>9</v>
      </c>
      <c r="S233" s="2">
        <v>30</v>
      </c>
      <c r="T233" s="2">
        <v>22</v>
      </c>
      <c r="U233" s="9">
        <f t="shared" ref="U233" si="527">0.098*J235*M235*0.5*R233</f>
        <v>2.3188309200000004</v>
      </c>
      <c r="V233" s="9">
        <f t="shared" ref="V233" si="528">0.098*J235*M235*Q233</f>
        <v>6.6988448800000011</v>
      </c>
      <c r="W233" s="8">
        <f t="shared" ref="W233" si="529">0.098*J235*M235*(S233-T233)</f>
        <v>4.1223660800000008</v>
      </c>
      <c r="X233" s="23">
        <v>0.75</v>
      </c>
      <c r="Y233" s="81"/>
      <c r="Z233" s="125"/>
    </row>
    <row r="234" spans="1:27" x14ac:dyDescent="0.2">
      <c r="A234" s="108"/>
      <c r="B234" s="111"/>
      <c r="C234" s="111"/>
      <c r="D234" s="111"/>
      <c r="E234" s="72"/>
      <c r="F234" s="72"/>
      <c r="G234" s="72"/>
      <c r="H234" s="72"/>
      <c r="I234" s="75"/>
      <c r="J234" s="69"/>
      <c r="K234" s="69"/>
      <c r="L234" s="69"/>
      <c r="M234" s="69"/>
      <c r="N234" s="114"/>
      <c r="O234" s="34">
        <v>41</v>
      </c>
      <c r="P234" s="34">
        <v>63</v>
      </c>
      <c r="Q234" s="2">
        <f t="shared" si="526"/>
        <v>11</v>
      </c>
      <c r="R234" s="2">
        <f t="shared" si="522"/>
        <v>9</v>
      </c>
      <c r="S234" s="2">
        <v>28</v>
      </c>
      <c r="T234" s="2">
        <v>20</v>
      </c>
      <c r="U234" s="9">
        <f t="shared" ref="U234" si="530">0.098*J235*M235*0.5*R234</f>
        <v>2.3188309200000004</v>
      </c>
      <c r="V234" s="9">
        <f t="shared" ref="V234" si="531">0.098*J235*M235*Q234</f>
        <v>5.6682533600000014</v>
      </c>
      <c r="W234" s="8">
        <f t="shared" ref="W234" si="532">0.098*J235*M235*(S234-T234)</f>
        <v>4.1223660800000008</v>
      </c>
      <c r="X234" s="84"/>
      <c r="Y234" s="82"/>
      <c r="Z234" s="125"/>
    </row>
    <row r="235" spans="1:27" x14ac:dyDescent="0.2">
      <c r="A235" s="108"/>
      <c r="B235" s="111"/>
      <c r="C235" s="111"/>
      <c r="D235" s="111"/>
      <c r="E235" s="72"/>
      <c r="F235" s="72"/>
      <c r="G235" s="72"/>
      <c r="H235" s="72"/>
      <c r="I235" s="75"/>
      <c r="J235" s="86">
        <f t="shared" ref="J235" si="533">(7*F238)/1000</f>
        <v>0.52581200000000006</v>
      </c>
      <c r="K235" s="89">
        <v>38</v>
      </c>
      <c r="L235" s="92">
        <v>9</v>
      </c>
      <c r="M235" s="92">
        <v>10</v>
      </c>
      <c r="N235" s="114"/>
      <c r="O235" s="34">
        <v>43</v>
      </c>
      <c r="P235" s="34">
        <v>63</v>
      </c>
      <c r="Q235" s="2">
        <f t="shared" si="526"/>
        <v>9</v>
      </c>
      <c r="R235" s="2">
        <f t="shared" si="522"/>
        <v>9</v>
      </c>
      <c r="S235" s="2">
        <v>27</v>
      </c>
      <c r="T235" s="2">
        <v>18</v>
      </c>
      <c r="U235" s="9">
        <f t="shared" ref="U235" si="534">0.098*J235*M235*0.5*R235</f>
        <v>2.3188309200000004</v>
      </c>
      <c r="V235" s="9">
        <f t="shared" ref="V235" si="535">0.098*J235*M235*Q235</f>
        <v>4.6376618400000007</v>
      </c>
      <c r="W235" s="8">
        <f t="shared" ref="W235" si="536">0.098*J235*M235*(S235-T235)</f>
        <v>4.6376618400000007</v>
      </c>
      <c r="X235" s="84"/>
      <c r="Y235" s="82"/>
      <c r="Z235" s="66">
        <f t="shared" ref="Z235" si="537">_xlfn.STDEV.S(R232:R237)</f>
        <v>0.40824829046386302</v>
      </c>
    </row>
    <row r="236" spans="1:27" x14ac:dyDescent="0.2">
      <c r="A236" s="108"/>
      <c r="B236" s="111"/>
      <c r="C236" s="111"/>
      <c r="D236" s="111"/>
      <c r="E236" s="72"/>
      <c r="F236" s="72"/>
      <c r="G236" s="72"/>
      <c r="H236" s="72"/>
      <c r="I236" s="75"/>
      <c r="J236" s="87"/>
      <c r="K236" s="90"/>
      <c r="L236" s="93"/>
      <c r="M236" s="93"/>
      <c r="N236" s="114"/>
      <c r="O236" s="34">
        <v>43</v>
      </c>
      <c r="P236" s="34">
        <v>68</v>
      </c>
      <c r="Q236" s="2">
        <f t="shared" si="526"/>
        <v>7</v>
      </c>
      <c r="R236" s="2">
        <f t="shared" si="522"/>
        <v>9</v>
      </c>
      <c r="S236" s="2">
        <v>25</v>
      </c>
      <c r="T236" s="2">
        <v>16</v>
      </c>
      <c r="U236" s="9">
        <f t="shared" ref="U236" si="538">0.098*J235*M235*0.5*R236</f>
        <v>2.3188309200000004</v>
      </c>
      <c r="V236" s="9">
        <f t="shared" ref="V236" si="539">0.098*J235*M235*Q236</f>
        <v>3.6070703200000009</v>
      </c>
      <c r="W236" s="8">
        <f t="shared" ref="W236" si="540">0.098*J235*M235*(S236-T236)</f>
        <v>4.6376618400000007</v>
      </c>
      <c r="X236" s="84"/>
      <c r="Y236" s="82"/>
      <c r="Z236" s="66"/>
    </row>
    <row r="237" spans="1:27" ht="17" thickBot="1" x14ac:dyDescent="0.25">
      <c r="A237" s="109"/>
      <c r="B237" s="112"/>
      <c r="C237" s="112"/>
      <c r="D237" s="112"/>
      <c r="E237" s="73"/>
      <c r="F237" s="73"/>
      <c r="G237" s="73"/>
      <c r="H237" s="73"/>
      <c r="I237" s="76"/>
      <c r="J237" s="97"/>
      <c r="K237" s="96"/>
      <c r="L237" s="95"/>
      <c r="M237" s="95"/>
      <c r="N237" s="114"/>
      <c r="O237" s="34">
        <v>46</v>
      </c>
      <c r="P237" s="34">
        <v>61</v>
      </c>
      <c r="Q237" s="2">
        <f t="shared" si="526"/>
        <v>5</v>
      </c>
      <c r="R237" s="2">
        <f t="shared" si="522"/>
        <v>10</v>
      </c>
      <c r="S237" s="2">
        <v>24</v>
      </c>
      <c r="T237" s="2">
        <v>15</v>
      </c>
      <c r="U237" s="9">
        <f t="shared" ref="U237" si="541">0.098*J235*M235*0.5*R237</f>
        <v>2.5764788000000003</v>
      </c>
      <c r="V237" s="9">
        <f t="shared" ref="V237" si="542">0.098*J235*M235*Q237</f>
        <v>2.5764788000000003</v>
      </c>
      <c r="W237" s="8">
        <f t="shared" ref="W237" si="543">0.098*J235*M235*(S237-T237)</f>
        <v>4.6376618400000007</v>
      </c>
      <c r="X237" s="84"/>
      <c r="Y237" s="82"/>
      <c r="Z237" s="66"/>
      <c r="AA237" t="s">
        <v>41</v>
      </c>
    </row>
    <row r="238" spans="1:27" x14ac:dyDescent="0.2">
      <c r="A238" s="19">
        <f t="shared" ref="A238:A280" si="544">A224+1</f>
        <v>16</v>
      </c>
      <c r="B238" s="3" t="s">
        <v>5</v>
      </c>
      <c r="C238" s="3">
        <v>67</v>
      </c>
      <c r="D238" s="3">
        <v>180</v>
      </c>
      <c r="E238" s="3">
        <v>120</v>
      </c>
      <c r="F238" s="3">
        <f t="shared" ref="F238" si="545">IF(B238="M", 50 + 0.91*(D238-152.4), IF(B238="F", 45.5 + 0.91*(D238-152.4), ""))</f>
        <v>75.116</v>
      </c>
      <c r="G238" s="3">
        <v>78</v>
      </c>
      <c r="H238" s="3">
        <f t="shared" ref="H238" si="546">E238/(D238*10^-2)^2</f>
        <v>37.037037037037038</v>
      </c>
      <c r="I238" s="116" t="s">
        <v>15</v>
      </c>
      <c r="J238" s="70" t="s">
        <v>31</v>
      </c>
      <c r="K238" s="70" t="s">
        <v>33</v>
      </c>
      <c r="L238" s="70" t="s">
        <v>17</v>
      </c>
      <c r="M238" s="70" t="s">
        <v>0</v>
      </c>
      <c r="N238" s="114"/>
      <c r="O238" s="4" t="s">
        <v>6</v>
      </c>
      <c r="P238" s="4" t="s">
        <v>34</v>
      </c>
      <c r="Q238" s="6" t="s">
        <v>2</v>
      </c>
      <c r="R238" s="17" t="s">
        <v>1</v>
      </c>
      <c r="S238" s="17" t="s">
        <v>25</v>
      </c>
      <c r="T238" s="17" t="s">
        <v>26</v>
      </c>
      <c r="U238" s="7" t="s">
        <v>21</v>
      </c>
      <c r="V238" s="7" t="s">
        <v>22</v>
      </c>
      <c r="W238" s="7" t="s">
        <v>24</v>
      </c>
      <c r="X238" s="84"/>
      <c r="Y238" s="82"/>
      <c r="Z238" s="125" t="s">
        <v>39</v>
      </c>
      <c r="AA238" t="s">
        <v>42</v>
      </c>
    </row>
    <row r="239" spans="1:27" x14ac:dyDescent="0.2">
      <c r="A239" s="98"/>
      <c r="B239" s="99"/>
      <c r="C239" s="99"/>
      <c r="D239" s="99"/>
      <c r="E239" s="99"/>
      <c r="F239" s="99"/>
      <c r="G239" s="99"/>
      <c r="H239" s="100"/>
      <c r="I239" s="75"/>
      <c r="J239" s="68"/>
      <c r="K239" s="68"/>
      <c r="L239" s="68"/>
      <c r="M239" s="68"/>
      <c r="N239" s="114"/>
      <c r="O239" s="34">
        <v>44</v>
      </c>
      <c r="P239" s="34">
        <v>55</v>
      </c>
      <c r="Q239" s="2">
        <v>15</v>
      </c>
      <c r="R239" s="2">
        <f t="shared" ref="R239:R244" si="547">T239-Q239</f>
        <v>12</v>
      </c>
      <c r="S239" s="2">
        <v>35</v>
      </c>
      <c r="T239" s="2">
        <v>27</v>
      </c>
      <c r="U239" s="2">
        <f t="shared" ref="U239" si="548">0.098*J242*M242*0.5*R239</f>
        <v>3.1801109759999999</v>
      </c>
      <c r="V239" s="10">
        <f t="shared" ref="V239" si="549">0.098*J242*M242*Q239</f>
        <v>7.9502774399999989</v>
      </c>
      <c r="W239" s="2">
        <f t="shared" ref="W239" si="550">0.098*J242*M242*(S239-T239)</f>
        <v>4.2401479679999996</v>
      </c>
      <c r="X239" s="84"/>
      <c r="Y239" s="82"/>
      <c r="Z239" s="125"/>
    </row>
    <row r="240" spans="1:27" x14ac:dyDescent="0.2">
      <c r="A240" s="101"/>
      <c r="B240" s="102"/>
      <c r="C240" s="102"/>
      <c r="D240" s="102"/>
      <c r="E240" s="102"/>
      <c r="F240" s="102"/>
      <c r="G240" s="102"/>
      <c r="H240" s="103"/>
      <c r="I240" s="75"/>
      <c r="J240" s="68"/>
      <c r="K240" s="68"/>
      <c r="L240" s="68"/>
      <c r="M240" s="68"/>
      <c r="N240" s="114"/>
      <c r="O240" s="34">
        <v>45</v>
      </c>
      <c r="P240" s="34">
        <v>62</v>
      </c>
      <c r="Q240" s="2">
        <f t="shared" ref="Q240:Q244" si="551">Q239-2</f>
        <v>13</v>
      </c>
      <c r="R240" s="2">
        <f t="shared" si="547"/>
        <v>12</v>
      </c>
      <c r="S240" s="2">
        <v>34</v>
      </c>
      <c r="T240" s="2">
        <v>25</v>
      </c>
      <c r="U240" s="2">
        <f t="shared" ref="U240" si="552">0.098*J242*M242*0.5*R240</f>
        <v>3.1801109759999999</v>
      </c>
      <c r="V240" s="10">
        <f t="shared" ref="V240" si="553">0.098*J242*M242*Q240</f>
        <v>6.8902404479999992</v>
      </c>
      <c r="W240" s="2">
        <f t="shared" ref="W240" si="554">0.098*J242*M242*(S240-T240)</f>
        <v>4.7701664639999999</v>
      </c>
      <c r="X240" s="84"/>
      <c r="Y240" s="82"/>
      <c r="Z240" s="125"/>
    </row>
    <row r="241" spans="1:27" x14ac:dyDescent="0.2">
      <c r="A241" s="101"/>
      <c r="B241" s="102"/>
      <c r="C241" s="102"/>
      <c r="D241" s="102"/>
      <c r="E241" s="102"/>
      <c r="F241" s="102"/>
      <c r="G241" s="102"/>
      <c r="H241" s="103"/>
      <c r="I241" s="75"/>
      <c r="J241" s="69"/>
      <c r="K241" s="69"/>
      <c r="L241" s="69"/>
      <c r="M241" s="69"/>
      <c r="N241" s="114"/>
      <c r="O241" s="34">
        <v>48</v>
      </c>
      <c r="P241" s="34">
        <v>65</v>
      </c>
      <c r="Q241" s="2">
        <f t="shared" si="551"/>
        <v>11</v>
      </c>
      <c r="R241" s="2">
        <f t="shared" si="547"/>
        <v>27</v>
      </c>
      <c r="S241" s="2">
        <v>35</v>
      </c>
      <c r="T241" s="2">
        <v>38</v>
      </c>
      <c r="U241" s="2">
        <f t="shared" ref="U241" si="555">0.098*J242*M242*0.5*R241</f>
        <v>7.1552496959999994</v>
      </c>
      <c r="V241" s="10">
        <f t="shared" ref="V241" si="556">0.098*J242*M242*Q241</f>
        <v>5.8302034559999996</v>
      </c>
      <c r="W241" s="2">
        <f t="shared" ref="W241" si="557">0.098*J242*M242*(S241-T241)</f>
        <v>-1.590055488</v>
      </c>
      <c r="X241" s="84"/>
      <c r="Y241" s="82"/>
      <c r="Z241" s="125"/>
    </row>
    <row r="242" spans="1:27" x14ac:dyDescent="0.2">
      <c r="A242" s="101"/>
      <c r="B242" s="102"/>
      <c r="C242" s="102"/>
      <c r="D242" s="102"/>
      <c r="E242" s="102"/>
      <c r="F242" s="102"/>
      <c r="G242" s="102"/>
      <c r="H242" s="103"/>
      <c r="I242" s="75"/>
      <c r="J242" s="86">
        <f t="shared" ref="J242" si="558">(9*F238)/1000</f>
        <v>0.67604399999999998</v>
      </c>
      <c r="K242" s="89">
        <v>45</v>
      </c>
      <c r="L242" s="92">
        <v>12</v>
      </c>
      <c r="M242" s="92">
        <v>8</v>
      </c>
      <c r="N242" s="114"/>
      <c r="O242" s="34">
        <v>44</v>
      </c>
      <c r="P242" s="34">
        <v>58</v>
      </c>
      <c r="Q242" s="2">
        <f t="shared" si="551"/>
        <v>9</v>
      </c>
      <c r="R242" s="2">
        <f t="shared" si="547"/>
        <v>28</v>
      </c>
      <c r="S242" s="2">
        <v>39</v>
      </c>
      <c r="T242" s="2">
        <v>37</v>
      </c>
      <c r="U242" s="2">
        <f t="shared" ref="U242" si="559">0.098*J242*M242*0.5*R242</f>
        <v>7.4202589439999995</v>
      </c>
      <c r="V242" s="10">
        <f t="shared" ref="V242" si="560">0.098*J242*M242*Q242</f>
        <v>4.7701664639999999</v>
      </c>
      <c r="W242" s="2">
        <f t="shared" ref="W242" si="561">0.098*J242*M242*(S242-T242)</f>
        <v>1.0600369919999999</v>
      </c>
      <c r="X242" s="84"/>
      <c r="Y242" s="82"/>
      <c r="Z242" s="101">
        <f t="shared" ref="Z242" si="562">_xlfn.STDEV.S(R239:R244)</f>
        <v>9.4109864874340712</v>
      </c>
    </row>
    <row r="243" spans="1:27" x14ac:dyDescent="0.2">
      <c r="A243" s="101"/>
      <c r="B243" s="102"/>
      <c r="C243" s="102"/>
      <c r="D243" s="102"/>
      <c r="E243" s="102"/>
      <c r="F243" s="102"/>
      <c r="G243" s="102"/>
      <c r="H243" s="103"/>
      <c r="I243" s="75"/>
      <c r="J243" s="87"/>
      <c r="K243" s="90"/>
      <c r="L243" s="93"/>
      <c r="M243" s="93"/>
      <c r="N243" s="114"/>
      <c r="O243" s="34">
        <v>42</v>
      </c>
      <c r="P243" s="34">
        <v>59</v>
      </c>
      <c r="Q243" s="2">
        <f t="shared" si="551"/>
        <v>7</v>
      </c>
      <c r="R243" s="2">
        <f t="shared" si="547"/>
        <v>31</v>
      </c>
      <c r="S243" s="2">
        <v>39</v>
      </c>
      <c r="T243" s="2">
        <v>38</v>
      </c>
      <c r="U243" s="2">
        <f t="shared" ref="U243" si="563">0.098*J242*M242*0.5*R243</f>
        <v>8.2152866879999991</v>
      </c>
      <c r="V243" s="10">
        <f t="shared" ref="V243" si="564">0.098*J242*M242*Q243</f>
        <v>3.7101294719999998</v>
      </c>
      <c r="W243" s="2">
        <f t="shared" ref="W243" si="565">0.098*J242*M242*(S243-T243)</f>
        <v>0.53001849599999995</v>
      </c>
      <c r="X243" s="84"/>
      <c r="Y243" s="82"/>
      <c r="Z243" s="101"/>
    </row>
    <row r="244" spans="1:27" ht="17" thickBot="1" x14ac:dyDescent="0.25">
      <c r="A244" s="104"/>
      <c r="B244" s="105"/>
      <c r="C244" s="105"/>
      <c r="D244" s="105"/>
      <c r="E244" s="105"/>
      <c r="F244" s="105"/>
      <c r="G244" s="105"/>
      <c r="H244" s="106"/>
      <c r="I244" s="117"/>
      <c r="J244" s="88"/>
      <c r="K244" s="91"/>
      <c r="L244" s="94"/>
      <c r="M244" s="94"/>
      <c r="N244" s="115"/>
      <c r="O244" s="35">
        <v>40</v>
      </c>
      <c r="P244" s="35">
        <v>62</v>
      </c>
      <c r="Q244" s="20">
        <f t="shared" si="551"/>
        <v>5</v>
      </c>
      <c r="R244" s="2">
        <f t="shared" si="547"/>
        <v>33</v>
      </c>
      <c r="S244" s="20">
        <v>39</v>
      </c>
      <c r="T244" s="20">
        <v>38</v>
      </c>
      <c r="U244" s="20">
        <f t="shared" ref="U244" si="566">0.098*J242*M242*0.5*R244</f>
        <v>8.7453051839999993</v>
      </c>
      <c r="V244" s="21">
        <f t="shared" ref="V244" si="567">0.098*J242*M242*Q244</f>
        <v>2.6500924799999996</v>
      </c>
      <c r="W244" s="20">
        <f t="shared" ref="W244" si="568">0.098*J242*M242*(S244-T244)</f>
        <v>0.53001849599999995</v>
      </c>
      <c r="X244" s="85"/>
      <c r="Y244" s="83"/>
      <c r="Z244" s="101"/>
    </row>
    <row r="245" spans="1:27" x14ac:dyDescent="0.2">
      <c r="A245" s="107" t="s">
        <v>8</v>
      </c>
      <c r="B245" s="110" t="s">
        <v>3</v>
      </c>
      <c r="C245" s="110" t="s">
        <v>7</v>
      </c>
      <c r="D245" s="110" t="s">
        <v>9</v>
      </c>
      <c r="E245" s="71" t="s">
        <v>11</v>
      </c>
      <c r="F245" s="71" t="s">
        <v>10</v>
      </c>
      <c r="G245" s="71" t="s">
        <v>12</v>
      </c>
      <c r="H245" s="71" t="s">
        <v>32</v>
      </c>
      <c r="I245" s="74" t="s">
        <v>14</v>
      </c>
      <c r="J245" s="67" t="s">
        <v>31</v>
      </c>
      <c r="K245" s="67" t="s">
        <v>33</v>
      </c>
      <c r="L245" s="67" t="s">
        <v>17</v>
      </c>
      <c r="M245" s="67" t="s">
        <v>0</v>
      </c>
      <c r="N245" s="113" t="s">
        <v>16</v>
      </c>
      <c r="O245" s="4" t="s">
        <v>6</v>
      </c>
      <c r="P245" s="4" t="s">
        <v>34</v>
      </c>
      <c r="Q245" s="17" t="s">
        <v>2</v>
      </c>
      <c r="R245" s="17" t="s">
        <v>1</v>
      </c>
      <c r="S245" s="17" t="s">
        <v>25</v>
      </c>
      <c r="T245" s="17" t="s">
        <v>26</v>
      </c>
      <c r="U245" s="18" t="s">
        <v>20</v>
      </c>
      <c r="V245" s="18" t="s">
        <v>22</v>
      </c>
      <c r="W245" s="18" t="s">
        <v>24</v>
      </c>
      <c r="X245" s="77" t="s">
        <v>19</v>
      </c>
      <c r="Y245" s="79" t="s">
        <v>23</v>
      </c>
      <c r="Z245" s="125" t="s">
        <v>39</v>
      </c>
    </row>
    <row r="246" spans="1:27" x14ac:dyDescent="0.2">
      <c r="A246" s="108"/>
      <c r="B246" s="111"/>
      <c r="C246" s="111"/>
      <c r="D246" s="111"/>
      <c r="E246" s="72"/>
      <c r="F246" s="72"/>
      <c r="G246" s="72"/>
      <c r="H246" s="72"/>
      <c r="I246" s="75"/>
      <c r="J246" s="68"/>
      <c r="K246" s="68"/>
      <c r="L246" s="68"/>
      <c r="M246" s="68"/>
      <c r="N246" s="114"/>
      <c r="O246" s="59">
        <v>42</v>
      </c>
      <c r="P246" s="34">
        <v>102</v>
      </c>
      <c r="Q246" s="2">
        <v>15</v>
      </c>
      <c r="R246" s="2">
        <f t="shared" ref="R246:R251" si="569">T246-Q246</f>
        <v>7</v>
      </c>
      <c r="S246" s="2">
        <v>22</v>
      </c>
      <c r="T246" s="2">
        <v>22</v>
      </c>
      <c r="U246" s="9">
        <f t="shared" ref="U246" si="570">0.098*J249*M249*0.5*R246</f>
        <v>2.0331475920000002</v>
      </c>
      <c r="V246" s="9">
        <f t="shared" ref="V246" si="571">0.098*J249*M249*Q246</f>
        <v>8.7134896800000003</v>
      </c>
      <c r="W246" s="8">
        <f t="shared" ref="W246" si="572">0.098*J249*M249*(S246-T246)</f>
        <v>0</v>
      </c>
      <c r="X246" s="78"/>
      <c r="Y246" s="80"/>
      <c r="Z246" s="125"/>
    </row>
    <row r="247" spans="1:27" x14ac:dyDescent="0.2">
      <c r="A247" s="108"/>
      <c r="B247" s="111"/>
      <c r="C247" s="111"/>
      <c r="D247" s="111"/>
      <c r="E247" s="72"/>
      <c r="F247" s="72"/>
      <c r="G247" s="72"/>
      <c r="H247" s="72"/>
      <c r="I247" s="75"/>
      <c r="J247" s="68"/>
      <c r="K247" s="68"/>
      <c r="L247" s="68"/>
      <c r="M247" s="68"/>
      <c r="N247" s="114"/>
      <c r="O247" s="34">
        <v>42</v>
      </c>
      <c r="P247" s="34">
        <v>115</v>
      </c>
      <c r="Q247" s="2">
        <f t="shared" ref="Q247:Q251" si="573">Q246-2</f>
        <v>13</v>
      </c>
      <c r="R247" s="2">
        <f t="shared" si="569"/>
        <v>7</v>
      </c>
      <c r="S247" s="2">
        <v>20</v>
      </c>
      <c r="T247" s="2">
        <v>20</v>
      </c>
      <c r="U247" s="9">
        <f t="shared" ref="U247" si="574">0.098*J249*M249*0.5*R247</f>
        <v>2.0331475920000002</v>
      </c>
      <c r="V247" s="9">
        <f t="shared" ref="V247" si="575">0.098*J249*M249*Q247</f>
        <v>7.5516910560000001</v>
      </c>
      <c r="W247" s="8">
        <f t="shared" ref="W247" si="576">0.098*J249*M249*(S247-T247)</f>
        <v>0</v>
      </c>
      <c r="X247" s="23">
        <v>0.75</v>
      </c>
      <c r="Y247" s="81"/>
      <c r="Z247" s="125"/>
    </row>
    <row r="248" spans="1:27" x14ac:dyDescent="0.2">
      <c r="A248" s="108"/>
      <c r="B248" s="111"/>
      <c r="C248" s="111"/>
      <c r="D248" s="111"/>
      <c r="E248" s="72"/>
      <c r="F248" s="72"/>
      <c r="G248" s="72"/>
      <c r="H248" s="72"/>
      <c r="I248" s="75"/>
      <c r="J248" s="69"/>
      <c r="K248" s="69"/>
      <c r="L248" s="69"/>
      <c r="M248" s="69"/>
      <c r="N248" s="114"/>
      <c r="O248" s="34">
        <v>42</v>
      </c>
      <c r="P248" s="34">
        <v>80</v>
      </c>
      <c r="Q248" s="2">
        <f t="shared" si="573"/>
        <v>11</v>
      </c>
      <c r="R248" s="2">
        <f t="shared" si="569"/>
        <v>6</v>
      </c>
      <c r="S248" s="2">
        <v>18</v>
      </c>
      <c r="T248" s="2">
        <v>17</v>
      </c>
      <c r="U248" s="9">
        <f t="shared" ref="U248" si="577">0.098*J249*M249*0.5*R248</f>
        <v>1.7426979359999999</v>
      </c>
      <c r="V248" s="9">
        <f t="shared" ref="V248" si="578">0.098*J249*M249*Q248</f>
        <v>6.3898924319999999</v>
      </c>
      <c r="W248" s="8">
        <f t="shared" ref="W248" si="579">0.098*J249*M249*(S248-T248)</f>
        <v>0.580899312</v>
      </c>
      <c r="X248" s="84"/>
      <c r="Y248" s="82"/>
      <c r="Z248" s="125"/>
    </row>
    <row r="249" spans="1:27" x14ac:dyDescent="0.2">
      <c r="A249" s="108"/>
      <c r="B249" s="111"/>
      <c r="C249" s="111"/>
      <c r="D249" s="111"/>
      <c r="E249" s="72"/>
      <c r="F249" s="72"/>
      <c r="G249" s="72"/>
      <c r="H249" s="72"/>
      <c r="I249" s="75"/>
      <c r="J249" s="86">
        <f t="shared" ref="J249" si="580">(7*F252)/1000</f>
        <v>0.49396200000000001</v>
      </c>
      <c r="K249" s="89">
        <v>40</v>
      </c>
      <c r="L249" s="92">
        <v>9</v>
      </c>
      <c r="M249" s="92">
        <v>12</v>
      </c>
      <c r="N249" s="114"/>
      <c r="O249" s="34">
        <v>41</v>
      </c>
      <c r="P249" s="34">
        <v>81</v>
      </c>
      <c r="Q249" s="2">
        <f t="shared" si="573"/>
        <v>9</v>
      </c>
      <c r="R249" s="2">
        <f t="shared" si="569"/>
        <v>7</v>
      </c>
      <c r="S249" s="2">
        <v>16</v>
      </c>
      <c r="T249" s="2">
        <v>16</v>
      </c>
      <c r="U249" s="9">
        <f t="shared" ref="U249" si="581">0.098*J249*M249*0.5*R249</f>
        <v>2.0331475920000002</v>
      </c>
      <c r="V249" s="9">
        <f t="shared" ref="V249" si="582">0.098*J249*M249*Q249</f>
        <v>5.2280938079999997</v>
      </c>
      <c r="W249" s="8">
        <f t="shared" ref="W249" si="583">0.098*J249*M249*(S249-T249)</f>
        <v>0</v>
      </c>
      <c r="X249" s="84"/>
      <c r="Y249" s="82"/>
      <c r="Z249" s="66">
        <f t="shared" ref="Z249" si="584">_xlfn.STDEV.S(R246:R251)</f>
        <v>1.0327955589886426</v>
      </c>
    </row>
    <row r="250" spans="1:27" x14ac:dyDescent="0.2">
      <c r="A250" s="108"/>
      <c r="B250" s="111"/>
      <c r="C250" s="111"/>
      <c r="D250" s="111"/>
      <c r="E250" s="72"/>
      <c r="F250" s="72"/>
      <c r="G250" s="72"/>
      <c r="H250" s="72"/>
      <c r="I250" s="75"/>
      <c r="J250" s="87"/>
      <c r="K250" s="90"/>
      <c r="L250" s="93"/>
      <c r="M250" s="93"/>
      <c r="N250" s="114"/>
      <c r="O250" s="34">
        <v>39</v>
      </c>
      <c r="P250" s="34">
        <v>76</v>
      </c>
      <c r="Q250" s="2">
        <f t="shared" si="573"/>
        <v>7</v>
      </c>
      <c r="R250" s="2">
        <f t="shared" si="569"/>
        <v>8</v>
      </c>
      <c r="S250" s="2">
        <v>15</v>
      </c>
      <c r="T250" s="2">
        <v>15</v>
      </c>
      <c r="U250" s="9">
        <f t="shared" ref="U250" si="585">0.098*J249*M249*0.5*R250</f>
        <v>2.323597248</v>
      </c>
      <c r="V250" s="9">
        <f t="shared" ref="V250" si="586">0.098*J249*M249*Q250</f>
        <v>4.0662951840000003</v>
      </c>
      <c r="W250" s="8">
        <f t="shared" ref="W250" si="587">0.098*J249*M249*(S250-T250)</f>
        <v>0</v>
      </c>
      <c r="X250" s="84"/>
      <c r="Y250" s="82"/>
      <c r="Z250" s="66"/>
    </row>
    <row r="251" spans="1:27" ht="17" thickBot="1" x14ac:dyDescent="0.25">
      <c r="A251" s="109"/>
      <c r="B251" s="112"/>
      <c r="C251" s="112"/>
      <c r="D251" s="112"/>
      <c r="E251" s="73"/>
      <c r="F251" s="73"/>
      <c r="G251" s="73"/>
      <c r="H251" s="73"/>
      <c r="I251" s="76"/>
      <c r="J251" s="97"/>
      <c r="K251" s="96"/>
      <c r="L251" s="95"/>
      <c r="M251" s="95"/>
      <c r="N251" s="114"/>
      <c r="O251" s="34">
        <v>39</v>
      </c>
      <c r="P251" s="34">
        <v>78</v>
      </c>
      <c r="Q251" s="2">
        <f t="shared" si="573"/>
        <v>5</v>
      </c>
      <c r="R251" s="2">
        <f t="shared" si="569"/>
        <v>9</v>
      </c>
      <c r="S251" s="2">
        <v>14</v>
      </c>
      <c r="T251" s="2">
        <v>14</v>
      </c>
      <c r="U251" s="9">
        <f t="shared" ref="U251" si="588">0.098*J249*M249*0.5*R251</f>
        <v>2.6140469039999998</v>
      </c>
      <c r="V251" s="9">
        <f t="shared" ref="V251" si="589">0.098*J249*M249*Q251</f>
        <v>2.9044965600000001</v>
      </c>
      <c r="W251" s="8">
        <f t="shared" ref="W251" si="590">0.098*J249*M249*(S251-T251)</f>
        <v>0</v>
      </c>
      <c r="X251" s="84"/>
      <c r="Y251" s="82"/>
      <c r="Z251" s="66"/>
      <c r="AA251" t="s">
        <v>41</v>
      </c>
    </row>
    <row r="252" spans="1:27" x14ac:dyDescent="0.2">
      <c r="A252" s="19">
        <f t="shared" si="544"/>
        <v>17</v>
      </c>
      <c r="B252" s="3" t="s">
        <v>5</v>
      </c>
      <c r="C252" s="3">
        <v>60</v>
      </c>
      <c r="D252" s="3">
        <v>175</v>
      </c>
      <c r="E252" s="3">
        <v>107</v>
      </c>
      <c r="F252" s="3">
        <f t="shared" ref="F252" si="591">IF(B252="M", 50 + 0.91*(D252-152.4), IF(B252="F", 45.5 + 0.91*(D252-152.4), ""))</f>
        <v>70.566000000000003</v>
      </c>
      <c r="G252" s="3">
        <v>101</v>
      </c>
      <c r="H252" s="3">
        <f t="shared" ref="H252" si="592">E252/(D252*10^-2)^2</f>
        <v>34.938775510204081</v>
      </c>
      <c r="I252" s="116" t="s">
        <v>15</v>
      </c>
      <c r="J252" s="70" t="s">
        <v>31</v>
      </c>
      <c r="K252" s="70" t="s">
        <v>33</v>
      </c>
      <c r="L252" s="70" t="s">
        <v>17</v>
      </c>
      <c r="M252" s="70" t="s">
        <v>0</v>
      </c>
      <c r="N252" s="114"/>
      <c r="O252" s="4" t="s">
        <v>6</v>
      </c>
      <c r="P252" s="4" t="s">
        <v>34</v>
      </c>
      <c r="Q252" s="6" t="s">
        <v>2</v>
      </c>
      <c r="R252" s="17" t="s">
        <v>1</v>
      </c>
      <c r="S252" s="17" t="s">
        <v>25</v>
      </c>
      <c r="T252" s="17" t="s">
        <v>26</v>
      </c>
      <c r="U252" s="7" t="s">
        <v>21</v>
      </c>
      <c r="V252" s="7" t="s">
        <v>22</v>
      </c>
      <c r="W252" s="7" t="s">
        <v>24</v>
      </c>
      <c r="X252" s="84"/>
      <c r="Y252" s="82"/>
      <c r="Z252" s="125" t="s">
        <v>39</v>
      </c>
      <c r="AA252" t="s">
        <v>44</v>
      </c>
    </row>
    <row r="253" spans="1:27" x14ac:dyDescent="0.2">
      <c r="A253" s="98"/>
      <c r="B253" s="99"/>
      <c r="C253" s="99"/>
      <c r="D253" s="99"/>
      <c r="E253" s="99"/>
      <c r="F253" s="99"/>
      <c r="G253" s="99"/>
      <c r="H253" s="100"/>
      <c r="I253" s="75"/>
      <c r="J253" s="68"/>
      <c r="K253" s="68"/>
      <c r="L253" s="68"/>
      <c r="M253" s="68"/>
      <c r="N253" s="114"/>
      <c r="O253" s="34">
        <v>37</v>
      </c>
      <c r="P253" s="34">
        <v>78</v>
      </c>
      <c r="Q253" s="2">
        <v>15</v>
      </c>
      <c r="R253" s="2">
        <f t="shared" ref="R253:R258" si="593">T253-Q253</f>
        <v>7</v>
      </c>
      <c r="S253" s="2">
        <v>23</v>
      </c>
      <c r="T253" s="2">
        <v>22</v>
      </c>
      <c r="U253" s="2">
        <f t="shared" ref="U253" si="594">0.098*J256*M256*0.5*R253</f>
        <v>1.9605351780000002</v>
      </c>
      <c r="V253" s="10">
        <f t="shared" ref="V253" si="595">0.098*J256*M256*Q253</f>
        <v>8.4022936200000018</v>
      </c>
      <c r="W253" s="2">
        <f t="shared" ref="W253" si="596">0.098*J256*M256*(S253-T253)</f>
        <v>0.56015290800000006</v>
      </c>
      <c r="X253" s="84"/>
      <c r="Y253" s="82"/>
      <c r="Z253" s="125"/>
    </row>
    <row r="254" spans="1:27" x14ac:dyDescent="0.2">
      <c r="A254" s="101"/>
      <c r="B254" s="102"/>
      <c r="C254" s="102"/>
      <c r="D254" s="102"/>
      <c r="E254" s="102"/>
      <c r="F254" s="102"/>
      <c r="G254" s="102"/>
      <c r="H254" s="103"/>
      <c r="I254" s="75"/>
      <c r="J254" s="68"/>
      <c r="K254" s="68"/>
      <c r="L254" s="68"/>
      <c r="M254" s="68"/>
      <c r="N254" s="114"/>
      <c r="O254" s="34">
        <v>40</v>
      </c>
      <c r="P254" s="34">
        <v>87</v>
      </c>
      <c r="Q254" s="2">
        <f t="shared" ref="Q254:Q258" si="597">Q253-2</f>
        <v>13</v>
      </c>
      <c r="R254" s="2">
        <f t="shared" si="593"/>
        <v>7</v>
      </c>
      <c r="S254" s="2">
        <v>21</v>
      </c>
      <c r="T254" s="2">
        <v>20</v>
      </c>
      <c r="U254" s="2">
        <f t="shared" ref="U254" si="598">0.098*J256*M256*0.5*R254</f>
        <v>1.9605351780000002</v>
      </c>
      <c r="V254" s="10">
        <f t="shared" ref="V254" si="599">0.098*J256*M256*Q254</f>
        <v>7.2819878040000008</v>
      </c>
      <c r="W254" s="2">
        <f t="shared" ref="W254" si="600">0.098*J256*M256*(S254-T254)</f>
        <v>0.56015290800000006</v>
      </c>
      <c r="X254" s="84"/>
      <c r="Y254" s="82"/>
      <c r="Z254" s="125"/>
    </row>
    <row r="255" spans="1:27" x14ac:dyDescent="0.2">
      <c r="A255" s="101"/>
      <c r="B255" s="102"/>
      <c r="C255" s="102"/>
      <c r="D255" s="102"/>
      <c r="E255" s="102"/>
      <c r="F255" s="102"/>
      <c r="G255" s="102"/>
      <c r="H255" s="103"/>
      <c r="I255" s="75"/>
      <c r="J255" s="69"/>
      <c r="K255" s="69"/>
      <c r="L255" s="69"/>
      <c r="M255" s="69"/>
      <c r="N255" s="114"/>
      <c r="O255" s="34">
        <v>44</v>
      </c>
      <c r="P255" s="34">
        <v>126</v>
      </c>
      <c r="Q255" s="2">
        <f t="shared" si="597"/>
        <v>11</v>
      </c>
      <c r="R255" s="2">
        <f t="shared" si="593"/>
        <v>7</v>
      </c>
      <c r="S255" s="2">
        <v>19</v>
      </c>
      <c r="T255" s="2">
        <v>18</v>
      </c>
      <c r="U255" s="2">
        <f t="shared" ref="U255" si="601">0.098*J256*M256*0.5*R255</f>
        <v>1.9605351780000002</v>
      </c>
      <c r="V255" s="10">
        <f t="shared" ref="V255" si="602">0.098*J256*M256*Q255</f>
        <v>6.1616819880000007</v>
      </c>
      <c r="W255" s="2">
        <f t="shared" ref="W255" si="603">0.098*J256*M256*(S255-T255)</f>
        <v>0.56015290800000006</v>
      </c>
      <c r="X255" s="84"/>
      <c r="Y255" s="82"/>
      <c r="Z255" s="125"/>
    </row>
    <row r="256" spans="1:27" x14ac:dyDescent="0.2">
      <c r="A256" s="101"/>
      <c r="B256" s="102"/>
      <c r="C256" s="102"/>
      <c r="D256" s="102"/>
      <c r="E256" s="102"/>
      <c r="F256" s="102"/>
      <c r="G256" s="102"/>
      <c r="H256" s="103"/>
      <c r="I256" s="75"/>
      <c r="J256" s="86">
        <f t="shared" ref="J256" si="604">(9*F252)/1000</f>
        <v>0.63509400000000005</v>
      </c>
      <c r="K256" s="89">
        <v>35</v>
      </c>
      <c r="L256" s="92">
        <v>9</v>
      </c>
      <c r="M256" s="92">
        <v>9</v>
      </c>
      <c r="N256" s="114"/>
      <c r="O256" s="34">
        <v>45</v>
      </c>
      <c r="P256" s="34">
        <v>93</v>
      </c>
      <c r="Q256" s="2">
        <f t="shared" si="597"/>
        <v>9</v>
      </c>
      <c r="R256" s="2">
        <f t="shared" si="593"/>
        <v>8</v>
      </c>
      <c r="S256" s="2">
        <v>17</v>
      </c>
      <c r="T256" s="2">
        <v>17</v>
      </c>
      <c r="U256" s="2">
        <f t="shared" ref="U256" si="605">0.098*J256*M256*0.5*R256</f>
        <v>2.2406116320000002</v>
      </c>
      <c r="V256" s="10">
        <f t="shared" ref="V256" si="606">0.098*J256*M256*Q256</f>
        <v>5.0413761720000005</v>
      </c>
      <c r="W256" s="2">
        <f t="shared" ref="W256" si="607">0.098*J256*M256*(S256-T256)</f>
        <v>0</v>
      </c>
      <c r="X256" s="84"/>
      <c r="Y256" s="82"/>
      <c r="Z256" s="101">
        <f t="shared" ref="Z256" si="608">_xlfn.STDEV.S(R253:R258)</f>
        <v>1.2649110640673518</v>
      </c>
    </row>
    <row r="257" spans="1:27" x14ac:dyDescent="0.2">
      <c r="A257" s="101"/>
      <c r="B257" s="102"/>
      <c r="C257" s="102"/>
      <c r="D257" s="102"/>
      <c r="E257" s="102"/>
      <c r="F257" s="102"/>
      <c r="G257" s="102"/>
      <c r="H257" s="103"/>
      <c r="I257" s="75"/>
      <c r="J257" s="87"/>
      <c r="K257" s="90"/>
      <c r="L257" s="93"/>
      <c r="M257" s="93"/>
      <c r="N257" s="114"/>
      <c r="O257" s="34">
        <v>44</v>
      </c>
      <c r="P257" s="34">
        <v>97</v>
      </c>
      <c r="Q257" s="2">
        <f t="shared" si="597"/>
        <v>7</v>
      </c>
      <c r="R257" s="2">
        <f t="shared" si="593"/>
        <v>9</v>
      </c>
      <c r="S257" s="2">
        <v>16</v>
      </c>
      <c r="T257" s="2">
        <v>16</v>
      </c>
      <c r="U257" s="2">
        <f t="shared" ref="U257" si="609">0.098*J256*M256*0.5*R257</f>
        <v>2.5206880860000003</v>
      </c>
      <c r="V257" s="10">
        <f t="shared" ref="V257" si="610">0.098*J256*M256*Q257</f>
        <v>3.9210703560000004</v>
      </c>
      <c r="W257" s="2">
        <f t="shared" ref="W257" si="611">0.098*J256*M256*(S257-T257)</f>
        <v>0</v>
      </c>
      <c r="X257" s="84"/>
      <c r="Y257" s="82"/>
      <c r="Z257" s="101"/>
    </row>
    <row r="258" spans="1:27" ht="17" thickBot="1" x14ac:dyDescent="0.25">
      <c r="A258" s="104"/>
      <c r="B258" s="105"/>
      <c r="C258" s="105"/>
      <c r="D258" s="105"/>
      <c r="E258" s="105"/>
      <c r="F258" s="105"/>
      <c r="G258" s="105"/>
      <c r="H258" s="106"/>
      <c r="I258" s="117"/>
      <c r="J258" s="88"/>
      <c r="K258" s="91"/>
      <c r="L258" s="94"/>
      <c r="M258" s="94"/>
      <c r="N258" s="115"/>
      <c r="O258" s="35">
        <v>43</v>
      </c>
      <c r="P258" s="35">
        <v>92</v>
      </c>
      <c r="Q258" s="20">
        <f t="shared" si="597"/>
        <v>5</v>
      </c>
      <c r="R258" s="2">
        <f t="shared" si="593"/>
        <v>10</v>
      </c>
      <c r="S258" s="20">
        <v>15</v>
      </c>
      <c r="T258" s="20">
        <v>15</v>
      </c>
      <c r="U258" s="20">
        <f t="shared" ref="U258" si="612">0.098*J256*M256*0.5*R258</f>
        <v>2.8007645400000003</v>
      </c>
      <c r="V258" s="21">
        <f t="shared" ref="V258" si="613">0.098*J256*M256*Q258</f>
        <v>2.8007645400000003</v>
      </c>
      <c r="W258" s="20">
        <f t="shared" ref="W258" si="614">0.098*J256*M256*(S258-T258)</f>
        <v>0</v>
      </c>
      <c r="X258" s="85"/>
      <c r="Y258" s="83"/>
      <c r="Z258" s="101"/>
    </row>
    <row r="259" spans="1:27" x14ac:dyDescent="0.2">
      <c r="A259" s="107" t="s">
        <v>8</v>
      </c>
      <c r="B259" s="110" t="s">
        <v>3</v>
      </c>
      <c r="C259" s="110" t="s">
        <v>7</v>
      </c>
      <c r="D259" s="110" t="s">
        <v>9</v>
      </c>
      <c r="E259" s="71" t="s">
        <v>11</v>
      </c>
      <c r="F259" s="71" t="s">
        <v>10</v>
      </c>
      <c r="G259" s="71" t="s">
        <v>12</v>
      </c>
      <c r="H259" s="71" t="s">
        <v>32</v>
      </c>
      <c r="I259" s="74" t="s">
        <v>14</v>
      </c>
      <c r="J259" s="67" t="s">
        <v>31</v>
      </c>
      <c r="K259" s="67" t="s">
        <v>33</v>
      </c>
      <c r="L259" s="67" t="s">
        <v>17</v>
      </c>
      <c r="M259" s="67" t="s">
        <v>0</v>
      </c>
      <c r="N259" s="113" t="s">
        <v>16</v>
      </c>
      <c r="O259" s="4" t="s">
        <v>6</v>
      </c>
      <c r="P259" s="4" t="s">
        <v>34</v>
      </c>
      <c r="Q259" s="17" t="s">
        <v>2</v>
      </c>
      <c r="R259" s="17" t="s">
        <v>1</v>
      </c>
      <c r="S259" s="17" t="s">
        <v>25</v>
      </c>
      <c r="T259" s="17" t="s">
        <v>26</v>
      </c>
      <c r="U259" s="18" t="s">
        <v>20</v>
      </c>
      <c r="V259" s="18" t="s">
        <v>22</v>
      </c>
      <c r="W259" s="18" t="s">
        <v>24</v>
      </c>
      <c r="X259" s="77" t="s">
        <v>19</v>
      </c>
      <c r="Y259" s="79" t="s">
        <v>23</v>
      </c>
      <c r="Z259" s="125" t="s">
        <v>39</v>
      </c>
    </row>
    <row r="260" spans="1:27" x14ac:dyDescent="0.2">
      <c r="A260" s="108"/>
      <c r="B260" s="111"/>
      <c r="C260" s="111"/>
      <c r="D260" s="111"/>
      <c r="E260" s="72"/>
      <c r="F260" s="72"/>
      <c r="G260" s="72"/>
      <c r="H260" s="72"/>
      <c r="I260" s="75"/>
      <c r="J260" s="68"/>
      <c r="K260" s="68"/>
      <c r="L260" s="68"/>
      <c r="M260" s="68"/>
      <c r="N260" s="114"/>
      <c r="O260" s="34">
        <v>33</v>
      </c>
      <c r="P260" s="34">
        <v>65</v>
      </c>
      <c r="Q260" s="2">
        <v>15</v>
      </c>
      <c r="R260" s="2">
        <f t="shared" ref="R260:R265" si="615">T260-Q260</f>
        <v>12</v>
      </c>
      <c r="S260" s="2">
        <v>31</v>
      </c>
      <c r="T260" s="2">
        <v>27</v>
      </c>
      <c r="U260" s="9">
        <f t="shared" ref="U260" si="616">0.098*J263*M263*0.5*R260</f>
        <v>3.0114302400000001</v>
      </c>
      <c r="V260" s="9">
        <f t="shared" ref="V260" si="617">0.098*J263*M263*Q260</f>
        <v>7.5285755999999999</v>
      </c>
      <c r="W260" s="8">
        <f t="shared" ref="W260" si="618">0.098*J263*M263*(S260-T260)</f>
        <v>2.0076201600000001</v>
      </c>
      <c r="X260" s="78"/>
      <c r="Y260" s="80"/>
      <c r="Z260" s="125"/>
    </row>
    <row r="261" spans="1:27" x14ac:dyDescent="0.2">
      <c r="A261" s="108"/>
      <c r="B261" s="111"/>
      <c r="C261" s="111"/>
      <c r="D261" s="111"/>
      <c r="E261" s="72"/>
      <c r="F261" s="72"/>
      <c r="G261" s="72"/>
      <c r="H261" s="72"/>
      <c r="I261" s="75"/>
      <c r="J261" s="68"/>
      <c r="K261" s="68"/>
      <c r="L261" s="68"/>
      <c r="M261" s="68"/>
      <c r="N261" s="114"/>
      <c r="O261" s="34">
        <v>34</v>
      </c>
      <c r="P261" s="34">
        <v>62</v>
      </c>
      <c r="Q261" s="2">
        <f t="shared" ref="Q261:Q265" si="619">Q260-2</f>
        <v>13</v>
      </c>
      <c r="R261" s="2">
        <f t="shared" si="615"/>
        <v>12</v>
      </c>
      <c r="S261" s="2">
        <v>29</v>
      </c>
      <c r="T261" s="2">
        <v>25</v>
      </c>
      <c r="U261" s="9">
        <f t="shared" ref="U261" si="620">0.098*J263*M263*0.5*R261</f>
        <v>3.0114302400000001</v>
      </c>
      <c r="V261" s="9">
        <f t="shared" ref="V261" si="621">0.098*J263*M263*Q261</f>
        <v>6.5247655200000008</v>
      </c>
      <c r="W261" s="8">
        <f t="shared" ref="W261" si="622">0.098*J263*M263*(S261-T261)</f>
        <v>2.0076201600000001</v>
      </c>
      <c r="X261" s="23">
        <v>0.54166666666666663</v>
      </c>
      <c r="Y261" s="81"/>
      <c r="Z261" s="125"/>
    </row>
    <row r="262" spans="1:27" x14ac:dyDescent="0.2">
      <c r="A262" s="108"/>
      <c r="B262" s="111"/>
      <c r="C262" s="111"/>
      <c r="D262" s="111"/>
      <c r="E262" s="72"/>
      <c r="F262" s="72"/>
      <c r="G262" s="72"/>
      <c r="H262" s="72"/>
      <c r="I262" s="75"/>
      <c r="J262" s="69"/>
      <c r="K262" s="69"/>
      <c r="L262" s="69"/>
      <c r="M262" s="69"/>
      <c r="N262" s="114"/>
      <c r="O262" s="34">
        <v>35</v>
      </c>
      <c r="P262" s="34">
        <v>59</v>
      </c>
      <c r="Q262" s="2">
        <f t="shared" si="619"/>
        <v>11</v>
      </c>
      <c r="R262" s="2">
        <f t="shared" si="615"/>
        <v>11</v>
      </c>
      <c r="S262" s="2">
        <v>25</v>
      </c>
      <c r="T262" s="2">
        <v>22</v>
      </c>
      <c r="U262" s="9">
        <f t="shared" ref="U262" si="623">0.098*J263*M263*0.5*R262</f>
        <v>2.7604777199999999</v>
      </c>
      <c r="V262" s="9">
        <f t="shared" ref="V262" si="624">0.098*J263*M263*Q262</f>
        <v>5.5209554399999998</v>
      </c>
      <c r="W262" s="8">
        <f t="shared" ref="W262" si="625">0.098*J263*M263*(S262-T262)</f>
        <v>1.5057151200000001</v>
      </c>
      <c r="X262" s="84"/>
      <c r="Y262" s="82"/>
      <c r="Z262" s="125"/>
    </row>
    <row r="263" spans="1:27" x14ac:dyDescent="0.2">
      <c r="A263" s="108"/>
      <c r="B263" s="111"/>
      <c r="C263" s="111"/>
      <c r="D263" s="111"/>
      <c r="E263" s="72"/>
      <c r="F263" s="72"/>
      <c r="G263" s="72"/>
      <c r="H263" s="72"/>
      <c r="I263" s="75"/>
      <c r="J263" s="86">
        <f t="shared" ref="J263" si="626">(7*F266)/1000</f>
        <v>0.34143199999999996</v>
      </c>
      <c r="K263" s="89">
        <v>33</v>
      </c>
      <c r="L263" s="92">
        <v>12</v>
      </c>
      <c r="M263" s="92">
        <v>15</v>
      </c>
      <c r="N263" s="114"/>
      <c r="O263" s="34">
        <v>34</v>
      </c>
      <c r="P263" s="34">
        <v>59</v>
      </c>
      <c r="Q263" s="2">
        <f t="shared" si="619"/>
        <v>9</v>
      </c>
      <c r="R263" s="2">
        <f t="shared" si="615"/>
        <v>11</v>
      </c>
      <c r="S263" s="2">
        <v>23</v>
      </c>
      <c r="T263" s="2">
        <v>20</v>
      </c>
      <c r="U263" s="9">
        <f t="shared" ref="U263" si="627">0.098*J263*M263*0.5*R263</f>
        <v>2.7604777199999999</v>
      </c>
      <c r="V263" s="9">
        <f t="shared" ref="V263" si="628">0.098*J263*M263*Q263</f>
        <v>4.5171453600000007</v>
      </c>
      <c r="W263" s="8">
        <f t="shared" ref="W263" si="629">0.098*J263*M263*(S263-T263)</f>
        <v>1.5057151200000001</v>
      </c>
      <c r="X263" s="84"/>
      <c r="Y263" s="82"/>
      <c r="Z263" s="101">
        <f t="shared" ref="Z263" si="630">_xlfn.STDEV.S(R260:R265)</f>
        <v>0.51639777949432231</v>
      </c>
    </row>
    <row r="264" spans="1:27" x14ac:dyDescent="0.2">
      <c r="A264" s="108"/>
      <c r="B264" s="111"/>
      <c r="C264" s="111"/>
      <c r="D264" s="111"/>
      <c r="E264" s="72"/>
      <c r="F264" s="72"/>
      <c r="G264" s="72"/>
      <c r="H264" s="72"/>
      <c r="I264" s="75"/>
      <c r="J264" s="87"/>
      <c r="K264" s="90"/>
      <c r="L264" s="93"/>
      <c r="M264" s="93"/>
      <c r="N264" s="114"/>
      <c r="O264" s="34">
        <v>34</v>
      </c>
      <c r="P264" s="34">
        <v>59</v>
      </c>
      <c r="Q264" s="2">
        <f t="shared" si="619"/>
        <v>7</v>
      </c>
      <c r="R264" s="2">
        <f t="shared" si="615"/>
        <v>11</v>
      </c>
      <c r="S264" s="2">
        <v>21</v>
      </c>
      <c r="T264" s="2">
        <v>18</v>
      </c>
      <c r="U264" s="9">
        <f t="shared" ref="U264" si="631">0.098*J263*M263*0.5*R264</f>
        <v>2.7604777199999999</v>
      </c>
      <c r="V264" s="9">
        <f t="shared" ref="V264" si="632">0.098*J263*M263*Q264</f>
        <v>3.5133352800000002</v>
      </c>
      <c r="W264" s="8">
        <f t="shared" ref="W264" si="633">0.098*J263*M263*(S264-T264)</f>
        <v>1.5057151200000001</v>
      </c>
      <c r="X264" s="84"/>
      <c r="Y264" s="82"/>
      <c r="Z264" s="101"/>
    </row>
    <row r="265" spans="1:27" ht="17" thickBot="1" x14ac:dyDescent="0.25">
      <c r="A265" s="109"/>
      <c r="B265" s="112"/>
      <c r="C265" s="112"/>
      <c r="D265" s="112"/>
      <c r="E265" s="73"/>
      <c r="F265" s="73"/>
      <c r="G265" s="73"/>
      <c r="H265" s="73"/>
      <c r="I265" s="76"/>
      <c r="J265" s="97"/>
      <c r="K265" s="96"/>
      <c r="L265" s="95"/>
      <c r="M265" s="95"/>
      <c r="N265" s="114"/>
      <c r="O265" s="34">
        <v>33</v>
      </c>
      <c r="P265" s="34">
        <v>59</v>
      </c>
      <c r="Q265" s="2">
        <f t="shared" si="619"/>
        <v>5</v>
      </c>
      <c r="R265" s="2">
        <f t="shared" si="615"/>
        <v>11</v>
      </c>
      <c r="S265" s="2">
        <v>21</v>
      </c>
      <c r="T265" s="2">
        <v>16</v>
      </c>
      <c r="U265" s="9">
        <f t="shared" ref="U265" si="634">0.098*J263*M263*0.5*R265</f>
        <v>2.7604777199999999</v>
      </c>
      <c r="V265" s="9">
        <f t="shared" ref="V265" si="635">0.098*J263*M263*Q265</f>
        <v>2.5095252000000001</v>
      </c>
      <c r="W265" s="8">
        <f t="shared" ref="W265" si="636">0.098*J263*M263*(S265-T265)</f>
        <v>2.5095252000000001</v>
      </c>
      <c r="X265" s="84"/>
      <c r="Y265" s="82"/>
      <c r="Z265" s="101"/>
      <c r="AA265" t="s">
        <v>41</v>
      </c>
    </row>
    <row r="266" spans="1:27" x14ac:dyDescent="0.2">
      <c r="A266" s="19">
        <f t="shared" si="544"/>
        <v>18</v>
      </c>
      <c r="B266" s="3" t="s">
        <v>4</v>
      </c>
      <c r="C266" s="3">
        <v>78</v>
      </c>
      <c r="D266" s="3">
        <v>156</v>
      </c>
      <c r="E266" s="3">
        <v>78</v>
      </c>
      <c r="F266" s="3">
        <f t="shared" ref="F266" si="637">IF(B266="M", 50 + 0.91*(D266-152.4), IF(B266="F", 45.5 + 0.91*(D266-152.4), ""))</f>
        <v>48.775999999999996</v>
      </c>
      <c r="G266" s="3">
        <v>54</v>
      </c>
      <c r="H266" s="3">
        <f t="shared" ref="H266" si="638">E266/(D266*10^-2)^2</f>
        <v>32.051282051282051</v>
      </c>
      <c r="I266" s="116" t="s">
        <v>15</v>
      </c>
      <c r="J266" s="70" t="s">
        <v>31</v>
      </c>
      <c r="K266" s="70" t="s">
        <v>33</v>
      </c>
      <c r="L266" s="70" t="s">
        <v>17</v>
      </c>
      <c r="M266" s="70" t="s">
        <v>0</v>
      </c>
      <c r="N266" s="114"/>
      <c r="O266" s="4" t="s">
        <v>6</v>
      </c>
      <c r="P266" s="4" t="s">
        <v>34</v>
      </c>
      <c r="Q266" s="6" t="s">
        <v>2</v>
      </c>
      <c r="R266" s="17" t="s">
        <v>1</v>
      </c>
      <c r="S266" s="17" t="s">
        <v>25</v>
      </c>
      <c r="T266" s="17" t="s">
        <v>26</v>
      </c>
      <c r="U266" s="7" t="s">
        <v>21</v>
      </c>
      <c r="V266" s="7" t="s">
        <v>22</v>
      </c>
      <c r="W266" s="7" t="s">
        <v>24</v>
      </c>
      <c r="X266" s="84"/>
      <c r="Y266" s="82"/>
      <c r="Z266" s="125" t="s">
        <v>39</v>
      </c>
      <c r="AA266" t="s">
        <v>46</v>
      </c>
    </row>
    <row r="267" spans="1:27" x14ac:dyDescent="0.2">
      <c r="A267" s="98"/>
      <c r="B267" s="99"/>
      <c r="C267" s="99"/>
      <c r="D267" s="99"/>
      <c r="E267" s="99"/>
      <c r="F267" s="99"/>
      <c r="G267" s="99"/>
      <c r="H267" s="100"/>
      <c r="I267" s="75"/>
      <c r="J267" s="68"/>
      <c r="K267" s="68"/>
      <c r="L267" s="68"/>
      <c r="M267" s="68"/>
      <c r="N267" s="114"/>
      <c r="O267" s="34">
        <v>33</v>
      </c>
      <c r="P267" s="34">
        <v>52</v>
      </c>
      <c r="Q267" s="2">
        <v>15</v>
      </c>
      <c r="R267" s="2">
        <f t="shared" ref="R267:R272" si="639">T267-Q267</f>
        <v>13</v>
      </c>
      <c r="S267" s="2">
        <v>33</v>
      </c>
      <c r="T267" s="2">
        <v>28</v>
      </c>
      <c r="U267" s="2">
        <f t="shared" ref="U267" si="640">0.098*J270*M270*0.5*R267</f>
        <v>3.3555936959999997</v>
      </c>
      <c r="V267" s="10">
        <f t="shared" ref="V267" si="641">0.098*J270*M270*Q267</f>
        <v>7.7436777599999997</v>
      </c>
      <c r="W267" s="2">
        <f t="shared" ref="W267" si="642">0.098*J270*M270*(S267-T267)</f>
        <v>2.5812259199999996</v>
      </c>
      <c r="X267" s="84"/>
      <c r="Y267" s="82"/>
      <c r="Z267" s="125"/>
    </row>
    <row r="268" spans="1:27" x14ac:dyDescent="0.2">
      <c r="A268" s="101"/>
      <c r="B268" s="102"/>
      <c r="C268" s="102"/>
      <c r="D268" s="102"/>
      <c r="E268" s="102"/>
      <c r="F268" s="102"/>
      <c r="G268" s="102"/>
      <c r="H268" s="103"/>
      <c r="I268" s="75"/>
      <c r="J268" s="68"/>
      <c r="K268" s="68"/>
      <c r="L268" s="68"/>
      <c r="M268" s="68"/>
      <c r="N268" s="114"/>
      <c r="O268" s="34">
        <v>33</v>
      </c>
      <c r="P268" s="34">
        <v>51</v>
      </c>
      <c r="Q268" s="2">
        <f t="shared" ref="Q268:Q272" si="643">Q267-2</f>
        <v>13</v>
      </c>
      <c r="R268" s="2">
        <f t="shared" si="639"/>
        <v>12</v>
      </c>
      <c r="S268" s="2">
        <v>29</v>
      </c>
      <c r="T268" s="2">
        <v>25</v>
      </c>
      <c r="U268" s="2">
        <f>0.098*J270*M270*0.5*R268</f>
        <v>3.0974711039999998</v>
      </c>
      <c r="V268" s="10">
        <f t="shared" ref="V268" si="644">0.098*J270*M270*Q268</f>
        <v>6.7111873919999994</v>
      </c>
      <c r="W268" s="2">
        <f t="shared" ref="W268" si="645">0.098*J270*M270*(S268-T268)</f>
        <v>2.0649807359999999</v>
      </c>
      <c r="X268" s="84"/>
      <c r="Y268" s="82"/>
      <c r="Z268" s="125"/>
    </row>
    <row r="269" spans="1:27" x14ac:dyDescent="0.2">
      <c r="A269" s="101"/>
      <c r="B269" s="102"/>
      <c r="C269" s="102"/>
      <c r="D269" s="102"/>
      <c r="E269" s="102"/>
      <c r="F269" s="102"/>
      <c r="G269" s="102"/>
      <c r="H269" s="103"/>
      <c r="I269" s="75"/>
      <c r="J269" s="69"/>
      <c r="K269" s="69"/>
      <c r="L269" s="69"/>
      <c r="M269" s="69"/>
      <c r="N269" s="114"/>
      <c r="O269" s="34">
        <v>34</v>
      </c>
      <c r="P269" s="34">
        <v>51</v>
      </c>
      <c r="Q269" s="2">
        <f t="shared" si="643"/>
        <v>11</v>
      </c>
      <c r="R269" s="2">
        <f t="shared" si="639"/>
        <v>13</v>
      </c>
      <c r="S269" s="2">
        <v>28</v>
      </c>
      <c r="T269" s="2">
        <v>24</v>
      </c>
      <c r="U269" s="2">
        <f t="shared" ref="U269" si="646">0.098*J270*M270*0.5*R269</f>
        <v>3.3555936959999997</v>
      </c>
      <c r="V269" s="10">
        <f t="shared" ref="V269" si="647">0.098*J270*M270*Q269</f>
        <v>5.6786970239999999</v>
      </c>
      <c r="W269" s="2">
        <f t="shared" ref="W269" si="648">0.098*J270*M270*(S269-T269)</f>
        <v>2.0649807359999999</v>
      </c>
      <c r="X269" s="84"/>
      <c r="Y269" s="82"/>
      <c r="Z269" s="125"/>
    </row>
    <row r="270" spans="1:27" x14ac:dyDescent="0.2">
      <c r="A270" s="101"/>
      <c r="B270" s="102"/>
      <c r="C270" s="102"/>
      <c r="D270" s="102"/>
      <c r="E270" s="102"/>
      <c r="F270" s="102"/>
      <c r="G270" s="102"/>
      <c r="H270" s="103"/>
      <c r="I270" s="75"/>
      <c r="J270" s="86">
        <f t="shared" ref="J270" si="649">(9*F266)/1000</f>
        <v>0.43898399999999999</v>
      </c>
      <c r="K270" s="89">
        <v>31</v>
      </c>
      <c r="L270" s="92">
        <v>13</v>
      </c>
      <c r="M270" s="92">
        <v>12</v>
      </c>
      <c r="N270" s="114"/>
      <c r="O270" s="34">
        <v>34</v>
      </c>
      <c r="P270" s="34">
        <v>50</v>
      </c>
      <c r="Q270" s="2">
        <f t="shared" si="643"/>
        <v>9</v>
      </c>
      <c r="R270" s="2">
        <f t="shared" si="639"/>
        <v>12</v>
      </c>
      <c r="S270" s="2">
        <v>25</v>
      </c>
      <c r="T270" s="2">
        <v>21</v>
      </c>
      <c r="U270" s="2">
        <f t="shared" ref="U270" si="650">0.098*J270*M270*0.5*R270</f>
        <v>3.0974711039999998</v>
      </c>
      <c r="V270" s="10">
        <f t="shared" ref="V270" si="651">0.098*J270*M270*Q270</f>
        <v>4.6462066559999995</v>
      </c>
      <c r="W270" s="2">
        <f t="shared" ref="W270" si="652">0.098*J270*M270*(S270-T270)</f>
        <v>2.0649807359999999</v>
      </c>
      <c r="X270" s="84"/>
      <c r="Y270" s="82"/>
      <c r="Z270" s="101">
        <f t="shared" ref="Z270" si="653">_xlfn.STDEV.S(R267:R272)</f>
        <v>0.54772255750516607</v>
      </c>
    </row>
    <row r="271" spans="1:27" x14ac:dyDescent="0.2">
      <c r="A271" s="101"/>
      <c r="B271" s="102"/>
      <c r="C271" s="102"/>
      <c r="D271" s="102"/>
      <c r="E271" s="102"/>
      <c r="F271" s="102"/>
      <c r="G271" s="102"/>
      <c r="H271" s="103"/>
      <c r="I271" s="75"/>
      <c r="J271" s="87"/>
      <c r="K271" s="90"/>
      <c r="L271" s="93"/>
      <c r="M271" s="93"/>
      <c r="N271" s="114"/>
      <c r="O271" s="34">
        <v>34</v>
      </c>
      <c r="P271" s="34">
        <v>51</v>
      </c>
      <c r="Q271" s="2">
        <f t="shared" si="643"/>
        <v>7</v>
      </c>
      <c r="R271" s="2">
        <f t="shared" si="639"/>
        <v>13</v>
      </c>
      <c r="S271" s="2">
        <v>24</v>
      </c>
      <c r="T271" s="2">
        <v>20</v>
      </c>
      <c r="U271" s="2">
        <f t="shared" ref="U271" si="654">0.098*J270*M270*0.5*R271</f>
        <v>3.3555936959999997</v>
      </c>
      <c r="V271" s="10">
        <f t="shared" ref="V271" si="655">0.098*J270*M270*Q271</f>
        <v>3.613716288</v>
      </c>
      <c r="W271" s="2">
        <f t="shared" ref="W271" si="656">0.098*J270*M270*(S271-T271)</f>
        <v>2.0649807359999999</v>
      </c>
      <c r="X271" s="84"/>
      <c r="Y271" s="82"/>
      <c r="Z271" s="101"/>
    </row>
    <row r="272" spans="1:27" ht="17" thickBot="1" x14ac:dyDescent="0.25">
      <c r="A272" s="104"/>
      <c r="B272" s="105"/>
      <c r="C272" s="105"/>
      <c r="D272" s="105"/>
      <c r="E272" s="105"/>
      <c r="F272" s="105"/>
      <c r="G272" s="105"/>
      <c r="H272" s="106"/>
      <c r="I272" s="117"/>
      <c r="J272" s="88"/>
      <c r="K272" s="91"/>
      <c r="L272" s="94"/>
      <c r="M272" s="94"/>
      <c r="N272" s="115"/>
      <c r="O272" s="35">
        <v>33</v>
      </c>
      <c r="P272" s="35">
        <v>52</v>
      </c>
      <c r="Q272" s="20">
        <f t="shared" si="643"/>
        <v>5</v>
      </c>
      <c r="R272" s="2">
        <f t="shared" si="639"/>
        <v>12</v>
      </c>
      <c r="S272" s="20">
        <v>22</v>
      </c>
      <c r="T272" s="20">
        <v>17</v>
      </c>
      <c r="U272" s="20">
        <f t="shared" ref="U272" si="657">0.098*J270*M270*0.5*R272</f>
        <v>3.0974711039999998</v>
      </c>
      <c r="V272" s="21">
        <f t="shared" ref="V272" si="658">0.098*J270*M270*Q272</f>
        <v>2.5812259199999996</v>
      </c>
      <c r="W272" s="20">
        <f t="shared" ref="W272" si="659">0.098*J270*M270*(S272-T272)</f>
        <v>2.5812259199999996</v>
      </c>
      <c r="X272" s="85"/>
      <c r="Y272" s="83"/>
      <c r="Z272" s="101"/>
    </row>
    <row r="273" spans="1:27" x14ac:dyDescent="0.2">
      <c r="A273" s="107" t="s">
        <v>8</v>
      </c>
      <c r="B273" s="110" t="s">
        <v>3</v>
      </c>
      <c r="C273" s="110" t="s">
        <v>7</v>
      </c>
      <c r="D273" s="110" t="s">
        <v>9</v>
      </c>
      <c r="E273" s="71" t="s">
        <v>11</v>
      </c>
      <c r="F273" s="71" t="s">
        <v>10</v>
      </c>
      <c r="G273" s="71" t="s">
        <v>12</v>
      </c>
      <c r="H273" s="71" t="s">
        <v>32</v>
      </c>
      <c r="I273" s="74" t="s">
        <v>14</v>
      </c>
      <c r="J273" s="67" t="s">
        <v>31</v>
      </c>
      <c r="K273" s="67" t="s">
        <v>33</v>
      </c>
      <c r="L273" s="67" t="s">
        <v>17</v>
      </c>
      <c r="M273" s="67" t="s">
        <v>0</v>
      </c>
      <c r="N273" s="113" t="s">
        <v>16</v>
      </c>
      <c r="O273" s="4" t="s">
        <v>6</v>
      </c>
      <c r="P273" s="4" t="s">
        <v>34</v>
      </c>
      <c r="Q273" s="17" t="s">
        <v>2</v>
      </c>
      <c r="R273" s="17" t="s">
        <v>1</v>
      </c>
      <c r="S273" s="17" t="s">
        <v>25</v>
      </c>
      <c r="T273" s="17" t="s">
        <v>26</v>
      </c>
      <c r="U273" s="18" t="s">
        <v>20</v>
      </c>
      <c r="V273" s="18" t="s">
        <v>22</v>
      </c>
      <c r="W273" s="18" t="s">
        <v>24</v>
      </c>
      <c r="X273" s="77" t="s">
        <v>19</v>
      </c>
      <c r="Y273" s="79" t="s">
        <v>23</v>
      </c>
      <c r="Z273" s="125" t="s">
        <v>39</v>
      </c>
    </row>
    <row r="274" spans="1:27" x14ac:dyDescent="0.2">
      <c r="A274" s="108"/>
      <c r="B274" s="111"/>
      <c r="C274" s="111"/>
      <c r="D274" s="111"/>
      <c r="E274" s="72"/>
      <c r="F274" s="72"/>
      <c r="G274" s="72"/>
      <c r="H274" s="72"/>
      <c r="I274" s="75"/>
      <c r="J274" s="68"/>
      <c r="K274" s="68"/>
      <c r="L274" s="68"/>
      <c r="M274" s="68"/>
      <c r="N274" s="114"/>
      <c r="O274" s="34">
        <v>34</v>
      </c>
      <c r="P274" s="34">
        <v>67</v>
      </c>
      <c r="Q274" s="2">
        <v>15</v>
      </c>
      <c r="R274" s="2">
        <f t="shared" ref="R274:R279" si="660">T274-Q274</f>
        <v>8</v>
      </c>
      <c r="S274" s="2">
        <v>27</v>
      </c>
      <c r="T274" s="2">
        <v>23</v>
      </c>
      <c r="U274" s="9">
        <f t="shared" ref="U274" si="661">0.098*J277*M277*0.5*R274</f>
        <v>1.9671681119999997</v>
      </c>
      <c r="V274" s="9">
        <f t="shared" ref="V274" si="662">0.098*J277*M277*Q274</f>
        <v>7.3768804199999991</v>
      </c>
      <c r="W274" s="8">
        <f t="shared" ref="W274" si="663">0.098*J277*M277*(S274-T274)</f>
        <v>1.9671681119999997</v>
      </c>
      <c r="X274" s="78"/>
      <c r="Y274" s="80"/>
      <c r="Z274" s="125"/>
    </row>
    <row r="275" spans="1:27" x14ac:dyDescent="0.2">
      <c r="A275" s="108"/>
      <c r="B275" s="111"/>
      <c r="C275" s="111"/>
      <c r="D275" s="111"/>
      <c r="E275" s="72"/>
      <c r="F275" s="72"/>
      <c r="G275" s="72"/>
      <c r="H275" s="72"/>
      <c r="I275" s="75"/>
      <c r="J275" s="68"/>
      <c r="K275" s="68"/>
      <c r="L275" s="68"/>
      <c r="M275" s="68"/>
      <c r="N275" s="114"/>
      <c r="O275" s="34">
        <v>35</v>
      </c>
      <c r="P275" s="34">
        <v>100</v>
      </c>
      <c r="Q275" s="2">
        <f t="shared" ref="Q275:Q279" si="664">Q274-2</f>
        <v>13</v>
      </c>
      <c r="R275" s="2">
        <f t="shared" si="660"/>
        <v>8</v>
      </c>
      <c r="S275" s="2">
        <v>24</v>
      </c>
      <c r="T275" s="2">
        <v>21</v>
      </c>
      <c r="U275" s="9">
        <f t="shared" ref="U275" si="665">0.098*J277*M277*0.5*R275</f>
        <v>1.9671681119999997</v>
      </c>
      <c r="V275" s="9">
        <f t="shared" ref="V275" si="666">0.098*J277*M277*Q275</f>
        <v>6.3932963639999993</v>
      </c>
      <c r="W275" s="8">
        <f t="shared" ref="W275" si="667">0.098*J277*M277*(S275-T275)</f>
        <v>1.4753760839999999</v>
      </c>
      <c r="X275" s="23">
        <v>0.76388888888888884</v>
      </c>
      <c r="Y275" s="81"/>
      <c r="Z275" s="125"/>
    </row>
    <row r="276" spans="1:27" x14ac:dyDescent="0.2">
      <c r="A276" s="108"/>
      <c r="B276" s="111"/>
      <c r="C276" s="111"/>
      <c r="D276" s="111"/>
      <c r="E276" s="72"/>
      <c r="F276" s="72"/>
      <c r="G276" s="72"/>
      <c r="H276" s="72"/>
      <c r="I276" s="75"/>
      <c r="J276" s="69"/>
      <c r="K276" s="69"/>
      <c r="L276" s="69"/>
      <c r="M276" s="69"/>
      <c r="N276" s="114"/>
      <c r="O276" s="34">
        <v>35</v>
      </c>
      <c r="P276" s="34">
        <v>72</v>
      </c>
      <c r="Q276" s="2">
        <f t="shared" si="664"/>
        <v>11</v>
      </c>
      <c r="R276" s="2">
        <f t="shared" si="660"/>
        <v>8</v>
      </c>
      <c r="S276" s="2">
        <v>22</v>
      </c>
      <c r="T276" s="2">
        <v>19</v>
      </c>
      <c r="U276" s="9">
        <f t="shared" ref="U276" si="668">0.098*J277*M277*0.5*R276</f>
        <v>1.9671681119999997</v>
      </c>
      <c r="V276" s="9">
        <f t="shared" ref="V276" si="669">0.098*J277*M277*Q276</f>
        <v>5.4097123079999996</v>
      </c>
      <c r="W276" s="8">
        <f t="shared" ref="W276" si="670">0.098*J277*M277*(S276-T276)</f>
        <v>1.4753760839999999</v>
      </c>
      <c r="X276" s="84"/>
      <c r="Y276" s="82"/>
      <c r="Z276" s="125"/>
    </row>
    <row r="277" spans="1:27" x14ac:dyDescent="0.2">
      <c r="A277" s="108"/>
      <c r="B277" s="111"/>
      <c r="C277" s="111"/>
      <c r="D277" s="111"/>
      <c r="E277" s="72"/>
      <c r="F277" s="72"/>
      <c r="G277" s="72"/>
      <c r="H277" s="72"/>
      <c r="I277" s="75"/>
      <c r="J277" s="86">
        <f t="shared" ref="J277" si="671">(7*F280)/1000</f>
        <v>0.38602199999999992</v>
      </c>
      <c r="K277" s="89">
        <v>34</v>
      </c>
      <c r="L277" s="92">
        <v>10</v>
      </c>
      <c r="M277" s="92">
        <v>13</v>
      </c>
      <c r="N277" s="114"/>
      <c r="O277" s="34">
        <v>36</v>
      </c>
      <c r="P277" s="34">
        <v>72</v>
      </c>
      <c r="Q277" s="2">
        <f t="shared" si="664"/>
        <v>9</v>
      </c>
      <c r="R277" s="2">
        <f t="shared" si="660"/>
        <v>8</v>
      </c>
      <c r="S277" s="2">
        <v>20</v>
      </c>
      <c r="T277" s="2">
        <v>17</v>
      </c>
      <c r="U277" s="9">
        <f t="shared" ref="U277" si="672">0.098*J277*M277*0.5*R277</f>
        <v>1.9671681119999997</v>
      </c>
      <c r="V277" s="9">
        <f t="shared" ref="V277" si="673">0.098*J277*M277*Q277</f>
        <v>4.4261282519999998</v>
      </c>
      <c r="W277" s="8">
        <f t="shared" ref="W277" si="674">0.098*J277*M277*(S277-T277)</f>
        <v>1.4753760839999999</v>
      </c>
      <c r="X277" s="84"/>
      <c r="Y277" s="82"/>
      <c r="Z277" s="101">
        <f t="shared" ref="Z277" si="675">_xlfn.STDEV.S(R274:R279)</f>
        <v>0.81649658092772603</v>
      </c>
    </row>
    <row r="278" spans="1:27" x14ac:dyDescent="0.2">
      <c r="A278" s="108"/>
      <c r="B278" s="111"/>
      <c r="C278" s="111"/>
      <c r="D278" s="111"/>
      <c r="E278" s="72"/>
      <c r="F278" s="72"/>
      <c r="G278" s="72"/>
      <c r="H278" s="72"/>
      <c r="I278" s="75"/>
      <c r="J278" s="87"/>
      <c r="K278" s="90"/>
      <c r="L278" s="93"/>
      <c r="M278" s="93"/>
      <c r="N278" s="114"/>
      <c r="O278" s="34">
        <v>35</v>
      </c>
      <c r="P278" s="34">
        <v>67</v>
      </c>
      <c r="Q278" s="2">
        <f t="shared" si="664"/>
        <v>7</v>
      </c>
      <c r="R278" s="2">
        <f t="shared" si="660"/>
        <v>8</v>
      </c>
      <c r="S278" s="2">
        <v>19</v>
      </c>
      <c r="T278" s="2">
        <v>15</v>
      </c>
      <c r="U278" s="9">
        <f t="shared" ref="U278" si="676">0.098*J277*M277*0.5*R278</f>
        <v>1.9671681119999997</v>
      </c>
      <c r="V278" s="9">
        <f t="shared" ref="V278" si="677">0.098*J277*M277*Q278</f>
        <v>3.4425441959999996</v>
      </c>
      <c r="W278" s="8">
        <f t="shared" ref="W278" si="678">0.098*J277*M277*(S278-T278)</f>
        <v>1.9671681119999997</v>
      </c>
      <c r="X278" s="84"/>
      <c r="Y278" s="82"/>
      <c r="Z278" s="101"/>
    </row>
    <row r="279" spans="1:27" ht="17" thickBot="1" x14ac:dyDescent="0.25">
      <c r="A279" s="109"/>
      <c r="B279" s="112"/>
      <c r="C279" s="112"/>
      <c r="D279" s="112"/>
      <c r="E279" s="73"/>
      <c r="F279" s="73"/>
      <c r="G279" s="73"/>
      <c r="H279" s="73"/>
      <c r="I279" s="76"/>
      <c r="J279" s="97"/>
      <c r="K279" s="96"/>
      <c r="L279" s="95"/>
      <c r="M279" s="95"/>
      <c r="N279" s="114"/>
      <c r="O279" s="34">
        <v>35</v>
      </c>
      <c r="P279" s="34">
        <v>67</v>
      </c>
      <c r="Q279" s="2">
        <f t="shared" si="664"/>
        <v>5</v>
      </c>
      <c r="R279" s="2">
        <f t="shared" si="660"/>
        <v>10</v>
      </c>
      <c r="S279" s="2">
        <v>17</v>
      </c>
      <c r="T279" s="2">
        <v>15</v>
      </c>
      <c r="U279" s="9">
        <f t="shared" ref="U279" si="679">0.098*J277*M277*0.5*R279</f>
        <v>2.4589601399999998</v>
      </c>
      <c r="V279" s="9">
        <f t="shared" ref="V279" si="680">0.098*J277*M277*Q279</f>
        <v>2.4589601399999998</v>
      </c>
      <c r="W279" s="8">
        <f t="shared" ref="W279" si="681">0.098*J277*M277*(S279-T279)</f>
        <v>0.98358405599999987</v>
      </c>
      <c r="X279" s="84"/>
      <c r="Y279" s="82"/>
      <c r="Z279" s="101"/>
      <c r="AA279" t="s">
        <v>41</v>
      </c>
    </row>
    <row r="280" spans="1:27" x14ac:dyDescent="0.2">
      <c r="A280" s="19">
        <f t="shared" si="544"/>
        <v>19</v>
      </c>
      <c r="B280" s="3" t="s">
        <v>4</v>
      </c>
      <c r="C280" s="3">
        <v>58</v>
      </c>
      <c r="D280" s="3">
        <v>163</v>
      </c>
      <c r="E280" s="3">
        <v>88</v>
      </c>
      <c r="F280" s="3">
        <f t="shared" ref="F280" si="682">IF(B280="M", 50 + 0.91*(D280-152.4), IF(B280="F", 45.5 + 0.91*(D280-152.4), ""))</f>
        <v>55.145999999999994</v>
      </c>
      <c r="G280" s="3">
        <v>81</v>
      </c>
      <c r="H280" s="3">
        <f t="shared" ref="H280" si="683">E280/(D280*10^-2)^2</f>
        <v>33.1213067861041</v>
      </c>
      <c r="I280" s="116" t="s">
        <v>15</v>
      </c>
      <c r="J280" s="70" t="s">
        <v>31</v>
      </c>
      <c r="K280" s="70" t="s">
        <v>33</v>
      </c>
      <c r="L280" s="70" t="s">
        <v>17</v>
      </c>
      <c r="M280" s="70" t="s">
        <v>0</v>
      </c>
      <c r="N280" s="114"/>
      <c r="O280" s="4" t="s">
        <v>6</v>
      </c>
      <c r="P280" s="4" t="s">
        <v>34</v>
      </c>
      <c r="Q280" s="6" t="s">
        <v>2</v>
      </c>
      <c r="R280" s="17" t="s">
        <v>1</v>
      </c>
      <c r="S280" s="17" t="s">
        <v>25</v>
      </c>
      <c r="T280" s="17" t="s">
        <v>26</v>
      </c>
      <c r="U280" s="7" t="s">
        <v>21</v>
      </c>
      <c r="V280" s="7" t="s">
        <v>22</v>
      </c>
      <c r="W280" s="7" t="s">
        <v>24</v>
      </c>
      <c r="X280" s="84"/>
      <c r="Y280" s="82"/>
      <c r="Z280" s="125" t="s">
        <v>39</v>
      </c>
      <c r="AA280" t="s">
        <v>44</v>
      </c>
    </row>
    <row r="281" spans="1:27" x14ac:dyDescent="0.2">
      <c r="A281" s="98"/>
      <c r="B281" s="99"/>
      <c r="C281" s="99"/>
      <c r="D281" s="99"/>
      <c r="E281" s="99"/>
      <c r="F281" s="99"/>
      <c r="G281" s="99"/>
      <c r="H281" s="100"/>
      <c r="I281" s="75"/>
      <c r="J281" s="68"/>
      <c r="K281" s="68"/>
      <c r="L281" s="68"/>
      <c r="M281" s="68"/>
      <c r="N281" s="114"/>
      <c r="O281" s="34">
        <v>35</v>
      </c>
      <c r="P281" s="34">
        <v>79</v>
      </c>
      <c r="Q281" s="2">
        <v>15</v>
      </c>
      <c r="R281" s="2">
        <f t="shared" ref="R281:R286" si="684">T281-Q281</f>
        <v>10</v>
      </c>
      <c r="S281" s="2">
        <v>29</v>
      </c>
      <c r="T281" s="2">
        <v>25</v>
      </c>
      <c r="U281" s="2">
        <f t="shared" ref="U281" si="685">0.098*J284*M284*0.5*R281</f>
        <v>2.4319385999999996</v>
      </c>
      <c r="V281" s="10">
        <f t="shared" ref="V281" si="686">0.098*J284*M284*Q281</f>
        <v>7.2958157999999997</v>
      </c>
      <c r="W281" s="2">
        <f t="shared" ref="W281" si="687">0.098*J284*M284*(S281-T281)</f>
        <v>1.9455508799999999</v>
      </c>
      <c r="X281" s="84"/>
      <c r="Y281" s="82"/>
      <c r="Z281" s="125"/>
    </row>
    <row r="282" spans="1:27" x14ac:dyDescent="0.2">
      <c r="A282" s="101"/>
      <c r="B282" s="102"/>
      <c r="C282" s="102"/>
      <c r="D282" s="102"/>
      <c r="E282" s="102"/>
      <c r="F282" s="102"/>
      <c r="G282" s="102"/>
      <c r="H282" s="103"/>
      <c r="I282" s="75"/>
      <c r="J282" s="68"/>
      <c r="K282" s="68"/>
      <c r="L282" s="68"/>
      <c r="M282" s="68"/>
      <c r="N282" s="114"/>
      <c r="O282" s="34">
        <v>40</v>
      </c>
      <c r="P282" s="34">
        <v>103</v>
      </c>
      <c r="Q282" s="2">
        <f t="shared" ref="Q282:Q286" si="688">Q281-2</f>
        <v>13</v>
      </c>
      <c r="R282" s="2">
        <f t="shared" si="684"/>
        <v>9</v>
      </c>
      <c r="S282" s="2">
        <v>26</v>
      </c>
      <c r="T282" s="2">
        <v>22</v>
      </c>
      <c r="U282" s="2">
        <f t="shared" ref="U282" si="689">0.098*J284*M284*0.5*R282</f>
        <v>2.1887447399999997</v>
      </c>
      <c r="V282" s="10">
        <f t="shared" ref="V282" si="690">0.098*J284*M284*Q282</f>
        <v>6.3230403599999994</v>
      </c>
      <c r="W282" s="2">
        <f t="shared" ref="W282" si="691">0.098*J284*M284*(S282-T282)</f>
        <v>1.9455508799999999</v>
      </c>
      <c r="X282" s="84"/>
      <c r="Y282" s="82"/>
      <c r="Z282" s="125"/>
    </row>
    <row r="283" spans="1:27" x14ac:dyDescent="0.2">
      <c r="A283" s="101"/>
      <c r="B283" s="102"/>
      <c r="C283" s="102"/>
      <c r="D283" s="102"/>
      <c r="E283" s="102"/>
      <c r="F283" s="102"/>
      <c r="G283" s="102"/>
      <c r="H283" s="103"/>
      <c r="I283" s="75"/>
      <c r="J283" s="69"/>
      <c r="K283" s="69"/>
      <c r="L283" s="69"/>
      <c r="M283" s="69"/>
      <c r="N283" s="114"/>
      <c r="O283" s="34">
        <v>39</v>
      </c>
      <c r="P283" s="34">
        <v>100</v>
      </c>
      <c r="Q283" s="2">
        <f t="shared" si="688"/>
        <v>11</v>
      </c>
      <c r="R283" s="2">
        <f t="shared" si="684"/>
        <v>10</v>
      </c>
      <c r="S283" s="2">
        <v>25</v>
      </c>
      <c r="T283" s="2">
        <v>21</v>
      </c>
      <c r="U283" s="2">
        <f t="shared" ref="U283" si="692">0.098*J284*M284*0.5*R283</f>
        <v>2.4319385999999996</v>
      </c>
      <c r="V283" s="10">
        <f t="shared" ref="V283" si="693">0.098*J284*M284*Q283</f>
        <v>5.3502649199999999</v>
      </c>
      <c r="W283" s="2">
        <f t="shared" ref="W283" si="694">0.098*J284*M284*(S283-T283)</f>
        <v>1.9455508799999999</v>
      </c>
      <c r="X283" s="84"/>
      <c r="Y283" s="82"/>
      <c r="Z283" s="125"/>
    </row>
    <row r="284" spans="1:27" x14ac:dyDescent="0.2">
      <c r="A284" s="101"/>
      <c r="B284" s="102"/>
      <c r="C284" s="102"/>
      <c r="D284" s="102"/>
      <c r="E284" s="102"/>
      <c r="F284" s="102"/>
      <c r="G284" s="102"/>
      <c r="H284" s="103"/>
      <c r="I284" s="75"/>
      <c r="J284" s="86">
        <f t="shared" ref="J284" si="695">(9*F280)/1000</f>
        <v>0.49631399999999998</v>
      </c>
      <c r="K284" s="89">
        <v>34</v>
      </c>
      <c r="L284" s="92">
        <v>9</v>
      </c>
      <c r="M284" s="92">
        <v>10</v>
      </c>
      <c r="N284" s="114"/>
      <c r="O284" s="34">
        <v>38</v>
      </c>
      <c r="P284" s="34">
        <v>103</v>
      </c>
      <c r="Q284" s="2">
        <f t="shared" si="688"/>
        <v>9</v>
      </c>
      <c r="R284" s="2">
        <f t="shared" si="684"/>
        <v>11</v>
      </c>
      <c r="S284" s="2">
        <v>23</v>
      </c>
      <c r="T284" s="2">
        <v>20</v>
      </c>
      <c r="U284" s="2">
        <f t="shared" ref="U284" si="696">0.098*J284*M284*0.5*R284</f>
        <v>2.6751324599999999</v>
      </c>
      <c r="V284" s="10">
        <f t="shared" ref="V284" si="697">0.098*J284*M284*Q284</f>
        <v>4.3774894799999995</v>
      </c>
      <c r="W284" s="2">
        <f t="shared" ref="W284" si="698">0.098*J284*M284*(S284-T284)</f>
        <v>1.4591631599999999</v>
      </c>
      <c r="X284" s="84"/>
      <c r="Y284" s="82"/>
      <c r="Z284" s="101">
        <f t="shared" ref="Z284" si="699">_xlfn.STDEV.S(R281:R286)</f>
        <v>1.9407902170679536</v>
      </c>
    </row>
    <row r="285" spans="1:27" x14ac:dyDescent="0.2">
      <c r="A285" s="101"/>
      <c r="B285" s="102"/>
      <c r="C285" s="102"/>
      <c r="D285" s="102"/>
      <c r="E285" s="102"/>
      <c r="F285" s="102"/>
      <c r="G285" s="102"/>
      <c r="H285" s="103"/>
      <c r="I285" s="75"/>
      <c r="J285" s="87"/>
      <c r="K285" s="90"/>
      <c r="L285" s="93"/>
      <c r="M285" s="93"/>
      <c r="N285" s="114"/>
      <c r="O285" s="34">
        <v>38</v>
      </c>
      <c r="P285" s="34">
        <v>100</v>
      </c>
      <c r="Q285" s="2">
        <f t="shared" si="688"/>
        <v>7</v>
      </c>
      <c r="R285" s="2">
        <f t="shared" si="684"/>
        <v>13</v>
      </c>
      <c r="S285" s="2">
        <v>25</v>
      </c>
      <c r="T285" s="2">
        <v>20</v>
      </c>
      <c r="U285" s="2">
        <f t="shared" ref="U285" si="700">0.098*J284*M284*0.5*R285</f>
        <v>3.1615201799999997</v>
      </c>
      <c r="V285" s="10">
        <f t="shared" ref="V285" si="701">0.098*J284*M284*Q285</f>
        <v>3.40471404</v>
      </c>
      <c r="W285" s="2">
        <f t="shared" ref="W285" si="702">0.098*J284*M284*(S285-T285)</f>
        <v>2.4319385999999996</v>
      </c>
      <c r="X285" s="84"/>
      <c r="Y285" s="82"/>
      <c r="Z285" s="101"/>
    </row>
    <row r="286" spans="1:27" ht="17" thickBot="1" x14ac:dyDescent="0.25">
      <c r="A286" s="104"/>
      <c r="B286" s="105"/>
      <c r="C286" s="105"/>
      <c r="D286" s="105"/>
      <c r="E286" s="105"/>
      <c r="F286" s="105"/>
      <c r="G286" s="105"/>
      <c r="H286" s="106"/>
      <c r="I286" s="117"/>
      <c r="J286" s="88"/>
      <c r="K286" s="91"/>
      <c r="L286" s="94"/>
      <c r="M286" s="94"/>
      <c r="N286" s="115"/>
      <c r="O286" s="35">
        <v>38</v>
      </c>
      <c r="P286" s="35">
        <v>97</v>
      </c>
      <c r="Q286" s="20">
        <f t="shared" si="688"/>
        <v>5</v>
      </c>
      <c r="R286" s="2">
        <f t="shared" si="684"/>
        <v>14</v>
      </c>
      <c r="S286" s="20">
        <v>24</v>
      </c>
      <c r="T286" s="20">
        <v>19</v>
      </c>
      <c r="U286" s="20">
        <f t="shared" ref="U286" si="703">0.098*J284*M284*0.5*R286</f>
        <v>3.40471404</v>
      </c>
      <c r="V286" s="21">
        <f t="shared" ref="V286" si="704">0.098*J284*M284*Q286</f>
        <v>2.4319385999999996</v>
      </c>
      <c r="W286" s="20">
        <f t="shared" ref="W286" si="705">0.098*J284*M284*(S286-T286)</f>
        <v>2.4319385999999996</v>
      </c>
      <c r="X286" s="85"/>
      <c r="Y286" s="83"/>
      <c r="Z286" s="101"/>
    </row>
    <row r="287" spans="1:27" x14ac:dyDescent="0.2">
      <c r="A287" s="107" t="s">
        <v>8</v>
      </c>
      <c r="B287" s="110" t="s">
        <v>3</v>
      </c>
      <c r="C287" s="110" t="s">
        <v>7</v>
      </c>
      <c r="D287" s="110" t="s">
        <v>9</v>
      </c>
      <c r="E287" s="71" t="s">
        <v>11</v>
      </c>
      <c r="F287" s="71" t="s">
        <v>10</v>
      </c>
      <c r="G287" s="71" t="s">
        <v>12</v>
      </c>
      <c r="H287" s="71" t="s">
        <v>32</v>
      </c>
      <c r="I287" s="74" t="s">
        <v>14</v>
      </c>
      <c r="J287" s="67" t="s">
        <v>31</v>
      </c>
      <c r="K287" s="67" t="s">
        <v>33</v>
      </c>
      <c r="L287" s="67" t="s">
        <v>17</v>
      </c>
      <c r="M287" s="67" t="s">
        <v>0</v>
      </c>
      <c r="N287" s="113" t="s">
        <v>16</v>
      </c>
      <c r="O287" s="4" t="s">
        <v>6</v>
      </c>
      <c r="P287" s="4" t="s">
        <v>34</v>
      </c>
      <c r="Q287" s="17" t="s">
        <v>2</v>
      </c>
      <c r="R287" s="17" t="s">
        <v>1</v>
      </c>
      <c r="S287" s="17" t="s">
        <v>25</v>
      </c>
      <c r="T287" s="17" t="s">
        <v>26</v>
      </c>
      <c r="U287" s="18" t="s">
        <v>20</v>
      </c>
      <c r="V287" s="18" t="s">
        <v>22</v>
      </c>
      <c r="W287" s="18" t="s">
        <v>24</v>
      </c>
      <c r="X287" s="77" t="s">
        <v>19</v>
      </c>
      <c r="Y287" s="79" t="s">
        <v>23</v>
      </c>
      <c r="Z287" s="125" t="s">
        <v>39</v>
      </c>
    </row>
    <row r="288" spans="1:27" x14ac:dyDescent="0.2">
      <c r="A288" s="108"/>
      <c r="B288" s="111"/>
      <c r="C288" s="111"/>
      <c r="D288" s="111"/>
      <c r="E288" s="72"/>
      <c r="F288" s="72"/>
      <c r="G288" s="72"/>
      <c r="H288" s="72"/>
      <c r="I288" s="75"/>
      <c r="J288" s="68"/>
      <c r="K288" s="68"/>
      <c r="L288" s="68"/>
      <c r="M288" s="68"/>
      <c r="N288" s="114"/>
      <c r="O288" s="34">
        <v>42</v>
      </c>
      <c r="P288" s="34">
        <v>75</v>
      </c>
      <c r="Q288" s="2">
        <v>15</v>
      </c>
      <c r="R288" s="2">
        <v>14</v>
      </c>
      <c r="S288" s="2">
        <v>32</v>
      </c>
      <c r="T288" s="2">
        <v>36</v>
      </c>
      <c r="U288" s="9">
        <f t="shared" ref="U288" si="706">0.098*J291*M291*0.5*R288</f>
        <v>2.9679817439999998</v>
      </c>
      <c r="V288" s="9">
        <f t="shared" ref="V288" si="707">0.098*J291*M291*Q288</f>
        <v>6.3599608799999992</v>
      </c>
      <c r="W288" s="8">
        <f t="shared" ref="W288" si="708">0.098*J291*M291*(S288-T288)</f>
        <v>-1.6959895679999999</v>
      </c>
      <c r="X288" s="78"/>
      <c r="Y288" s="80"/>
      <c r="Z288" s="125"/>
    </row>
    <row r="289" spans="1:27" x14ac:dyDescent="0.2">
      <c r="A289" s="108"/>
      <c r="B289" s="111"/>
      <c r="C289" s="111"/>
      <c r="D289" s="111"/>
      <c r="E289" s="72"/>
      <c r="F289" s="72"/>
      <c r="G289" s="72"/>
      <c r="H289" s="72"/>
      <c r="I289" s="75"/>
      <c r="J289" s="68"/>
      <c r="K289" s="68"/>
      <c r="L289" s="68"/>
      <c r="M289" s="68"/>
      <c r="N289" s="114"/>
      <c r="O289" s="34">
        <v>44</v>
      </c>
      <c r="P289" s="34">
        <v>77</v>
      </c>
      <c r="Q289" s="2">
        <f t="shared" ref="Q289:Q293" si="709">Q288-2</f>
        <v>13</v>
      </c>
      <c r="R289" s="2">
        <f t="shared" ref="R289:R293" si="710">T289-Q289</f>
        <v>12</v>
      </c>
      <c r="S289" s="2">
        <v>28</v>
      </c>
      <c r="T289" s="2">
        <v>25</v>
      </c>
      <c r="U289" s="9">
        <f t="shared" ref="U289" si="711">0.098*J291*M291*0.5*R289</f>
        <v>2.5439843519999998</v>
      </c>
      <c r="V289" s="9">
        <f t="shared" ref="V289" si="712">0.098*J291*M291*Q289</f>
        <v>5.5119660960000001</v>
      </c>
      <c r="W289" s="8">
        <f t="shared" ref="W289" si="713">0.098*J291*M291*(S289-T289)</f>
        <v>1.2719921759999999</v>
      </c>
      <c r="X289" s="23">
        <v>0.41666666666666669</v>
      </c>
      <c r="Y289" s="81"/>
      <c r="Z289" s="125"/>
    </row>
    <row r="290" spans="1:27" x14ac:dyDescent="0.2">
      <c r="A290" s="108"/>
      <c r="B290" s="111"/>
      <c r="C290" s="111"/>
      <c r="D290" s="111"/>
      <c r="E290" s="72"/>
      <c r="F290" s="72"/>
      <c r="G290" s="72"/>
      <c r="H290" s="72"/>
      <c r="I290" s="75"/>
      <c r="J290" s="69"/>
      <c r="K290" s="69"/>
      <c r="L290" s="69"/>
      <c r="M290" s="69"/>
      <c r="N290" s="114"/>
      <c r="O290" s="34">
        <v>44</v>
      </c>
      <c r="P290" s="34">
        <v>75</v>
      </c>
      <c r="Q290" s="2">
        <f t="shared" si="709"/>
        <v>11</v>
      </c>
      <c r="R290" s="2">
        <f t="shared" si="710"/>
        <v>10</v>
      </c>
      <c r="S290" s="2">
        <v>27</v>
      </c>
      <c r="T290" s="2">
        <v>21</v>
      </c>
      <c r="U290" s="9">
        <f t="shared" ref="U290" si="714">0.098*J291*M291*0.5*R290</f>
        <v>2.1199869599999999</v>
      </c>
      <c r="V290" s="9">
        <f t="shared" ref="V290" si="715">0.098*J291*M291*Q290</f>
        <v>4.6639713119999993</v>
      </c>
      <c r="W290" s="8">
        <f t="shared" ref="W290" si="716">0.098*J291*M291*(S290-T290)</f>
        <v>2.5439843519999998</v>
      </c>
      <c r="X290" s="84"/>
      <c r="Y290" s="82"/>
      <c r="Z290" s="125"/>
    </row>
    <row r="291" spans="1:27" x14ac:dyDescent="0.2">
      <c r="A291" s="108"/>
      <c r="B291" s="111"/>
      <c r="C291" s="111"/>
      <c r="D291" s="111"/>
      <c r="E291" s="72"/>
      <c r="F291" s="72"/>
      <c r="G291" s="72"/>
      <c r="H291" s="72"/>
      <c r="I291" s="75"/>
      <c r="J291" s="86">
        <f t="shared" ref="J291" si="717">(7*F294)/1000</f>
        <v>0.36054199999999997</v>
      </c>
      <c r="K291" s="89">
        <v>44</v>
      </c>
      <c r="L291" s="92">
        <v>8</v>
      </c>
      <c r="M291" s="92">
        <v>12</v>
      </c>
      <c r="N291" s="114"/>
      <c r="O291" s="34">
        <v>45</v>
      </c>
      <c r="P291" s="34">
        <v>70</v>
      </c>
      <c r="Q291" s="2">
        <f t="shared" si="709"/>
        <v>9</v>
      </c>
      <c r="R291" s="2">
        <f t="shared" si="710"/>
        <v>9</v>
      </c>
      <c r="S291" s="2">
        <v>23</v>
      </c>
      <c r="T291" s="2">
        <v>18</v>
      </c>
      <c r="U291" s="9">
        <f t="shared" ref="U291" si="718">0.098*J291*M291*0.5*R291</f>
        <v>1.9079882639999999</v>
      </c>
      <c r="V291" s="9">
        <f t="shared" ref="V291" si="719">0.098*J291*M291*Q291</f>
        <v>3.8159765279999998</v>
      </c>
      <c r="W291" s="8">
        <f t="shared" ref="W291" si="720">0.098*J291*M291*(S291-T291)</f>
        <v>2.1199869599999999</v>
      </c>
      <c r="X291" s="84"/>
      <c r="Y291" s="82"/>
      <c r="Z291" s="101">
        <f t="shared" ref="Z291" si="721">_xlfn.STDEV.S(R288:R293)</f>
        <v>1.966384160500352</v>
      </c>
    </row>
    <row r="292" spans="1:27" x14ac:dyDescent="0.2">
      <c r="A292" s="108"/>
      <c r="B292" s="111"/>
      <c r="C292" s="111"/>
      <c r="D292" s="111"/>
      <c r="E292" s="72"/>
      <c r="F292" s="72"/>
      <c r="G292" s="72"/>
      <c r="H292" s="72"/>
      <c r="I292" s="75"/>
      <c r="J292" s="87"/>
      <c r="K292" s="90"/>
      <c r="L292" s="93"/>
      <c r="M292" s="93"/>
      <c r="N292" s="114"/>
      <c r="O292" s="34">
        <v>45</v>
      </c>
      <c r="P292" s="34">
        <v>74</v>
      </c>
      <c r="Q292" s="2">
        <f t="shared" si="709"/>
        <v>7</v>
      </c>
      <c r="R292" s="2">
        <f t="shared" si="710"/>
        <v>10</v>
      </c>
      <c r="S292" s="2">
        <v>21</v>
      </c>
      <c r="T292" s="2">
        <v>17</v>
      </c>
      <c r="U292" s="9">
        <f t="shared" ref="U292" si="722">0.098*J291*M291*0.5*R292</f>
        <v>2.1199869599999999</v>
      </c>
      <c r="V292" s="9">
        <f t="shared" ref="V292" si="723">0.098*J291*M291*Q292</f>
        <v>2.9679817439999998</v>
      </c>
      <c r="W292" s="8">
        <f t="shared" ref="W292" si="724">0.098*J291*M291*(S292-T292)</f>
        <v>1.6959895679999999</v>
      </c>
      <c r="X292" s="84"/>
      <c r="Y292" s="82"/>
      <c r="Z292" s="101"/>
    </row>
    <row r="293" spans="1:27" ht="17" thickBot="1" x14ac:dyDescent="0.25">
      <c r="A293" s="109"/>
      <c r="B293" s="112"/>
      <c r="C293" s="112"/>
      <c r="D293" s="112"/>
      <c r="E293" s="73"/>
      <c r="F293" s="73"/>
      <c r="G293" s="73"/>
      <c r="H293" s="73"/>
      <c r="I293" s="76"/>
      <c r="J293" s="97"/>
      <c r="K293" s="96"/>
      <c r="L293" s="95"/>
      <c r="M293" s="95"/>
      <c r="N293" s="114"/>
      <c r="O293" s="34">
        <v>42</v>
      </c>
      <c r="P293" s="34">
        <v>74</v>
      </c>
      <c r="Q293" s="2">
        <f t="shared" si="709"/>
        <v>5</v>
      </c>
      <c r="R293" s="2">
        <f t="shared" si="710"/>
        <v>9</v>
      </c>
      <c r="S293" s="2">
        <v>19</v>
      </c>
      <c r="T293" s="2">
        <v>14</v>
      </c>
      <c r="U293" s="9">
        <f t="shared" ref="U293" si="725">0.098*J291*M291*0.5*R293</f>
        <v>1.9079882639999999</v>
      </c>
      <c r="V293" s="9">
        <f t="shared" ref="V293" si="726">0.098*J291*M291*Q293</f>
        <v>2.1199869599999999</v>
      </c>
      <c r="W293" s="8">
        <f t="shared" ref="W293" si="727">0.098*J291*M291*(S293-T293)</f>
        <v>2.1199869599999999</v>
      </c>
      <c r="X293" s="84"/>
      <c r="Y293" s="82"/>
      <c r="Z293" s="101"/>
      <c r="AA293" t="s">
        <v>41</v>
      </c>
    </row>
    <row r="294" spans="1:27" x14ac:dyDescent="0.2">
      <c r="A294" s="19">
        <f t="shared" ref="A294:A350" si="728">A280+1</f>
        <v>20</v>
      </c>
      <c r="B294" s="3" t="s">
        <v>4</v>
      </c>
      <c r="C294" s="3">
        <v>60</v>
      </c>
      <c r="D294" s="3">
        <v>159</v>
      </c>
      <c r="E294" s="3">
        <v>35</v>
      </c>
      <c r="F294" s="3">
        <f t="shared" ref="F294" si="729">IF(B294="M", 50 + 0.91*(D294-152.4), IF(B294="F", 45.5 + 0.91*(D294-152.4), ""))</f>
        <v>51.505999999999993</v>
      </c>
      <c r="G294" s="3">
        <v>68</v>
      </c>
      <c r="H294" s="3">
        <f t="shared" ref="H294" si="730">E294/(D294*10^-2)^2</f>
        <v>13.844389066888176</v>
      </c>
      <c r="I294" s="116" t="s">
        <v>15</v>
      </c>
      <c r="J294" s="70" t="s">
        <v>31</v>
      </c>
      <c r="K294" s="70" t="s">
        <v>33</v>
      </c>
      <c r="L294" s="70" t="s">
        <v>17</v>
      </c>
      <c r="M294" s="70" t="s">
        <v>0</v>
      </c>
      <c r="N294" s="114"/>
      <c r="O294" s="4" t="s">
        <v>6</v>
      </c>
      <c r="P294" s="4" t="s">
        <v>34</v>
      </c>
      <c r="Q294" s="6" t="s">
        <v>2</v>
      </c>
      <c r="R294" s="17" t="s">
        <v>1</v>
      </c>
      <c r="S294" s="17" t="s">
        <v>25</v>
      </c>
      <c r="T294" s="17" t="s">
        <v>26</v>
      </c>
      <c r="U294" s="7" t="s">
        <v>21</v>
      </c>
      <c r="V294" s="7" t="s">
        <v>22</v>
      </c>
      <c r="W294" s="7" t="s">
        <v>24</v>
      </c>
      <c r="X294" s="84"/>
      <c r="Y294" s="82"/>
      <c r="Z294" s="125" t="s">
        <v>39</v>
      </c>
      <c r="AA294" t="s">
        <v>42</v>
      </c>
    </row>
    <row r="295" spans="1:27" x14ac:dyDescent="0.2">
      <c r="A295" s="98"/>
      <c r="B295" s="99"/>
      <c r="C295" s="99"/>
      <c r="D295" s="99"/>
      <c r="E295" s="99"/>
      <c r="F295" s="99"/>
      <c r="G295" s="99"/>
      <c r="H295" s="100"/>
      <c r="I295" s="75"/>
      <c r="J295" s="68"/>
      <c r="K295" s="68"/>
      <c r="L295" s="68"/>
      <c r="M295" s="68"/>
      <c r="N295" s="114"/>
      <c r="O295" s="34"/>
      <c r="P295" s="34"/>
      <c r="Q295" s="2">
        <v>15</v>
      </c>
      <c r="R295" s="2">
        <f t="shared" ref="R295:R300" si="731">T295-Q295</f>
        <v>-15</v>
      </c>
      <c r="S295" s="2"/>
      <c r="T295" s="2"/>
      <c r="U295" s="2">
        <v>3.01</v>
      </c>
      <c r="V295" s="10">
        <f t="shared" ref="V295" si="732">0.098*J298*M298*Q295</f>
        <v>0</v>
      </c>
      <c r="W295" s="2">
        <f t="shared" ref="W295" si="733">0.098*J298*M298*(S295-T295)</f>
        <v>0</v>
      </c>
      <c r="X295" s="84"/>
      <c r="Y295" s="82"/>
      <c r="Z295" s="125"/>
    </row>
    <row r="296" spans="1:27" x14ac:dyDescent="0.2">
      <c r="A296" s="101"/>
      <c r="B296" s="102"/>
      <c r="C296" s="102"/>
      <c r="D296" s="102"/>
      <c r="E296" s="102"/>
      <c r="F296" s="102"/>
      <c r="G296" s="102"/>
      <c r="H296" s="103"/>
      <c r="I296" s="75"/>
      <c r="J296" s="68"/>
      <c r="K296" s="68"/>
      <c r="L296" s="68"/>
      <c r="M296" s="68"/>
      <c r="N296" s="114"/>
      <c r="O296" s="34"/>
      <c r="P296" s="34"/>
      <c r="Q296" s="2">
        <f t="shared" ref="Q296:Q300" si="734">Q295-2</f>
        <v>13</v>
      </c>
      <c r="R296" s="2">
        <f t="shared" si="731"/>
        <v>-13</v>
      </c>
      <c r="S296" s="2"/>
      <c r="T296" s="2"/>
      <c r="U296" s="2">
        <v>4.45</v>
      </c>
      <c r="V296" s="10">
        <f t="shared" ref="V296" si="735">0.098*J298*M298*Q296</f>
        <v>0</v>
      </c>
      <c r="W296" s="2">
        <f t="shared" ref="W296" si="736">0.098*J298*M298*(S296-T296)</f>
        <v>0</v>
      </c>
      <c r="X296" s="84"/>
      <c r="Y296" s="82"/>
      <c r="Z296" s="125"/>
    </row>
    <row r="297" spans="1:27" x14ac:dyDescent="0.2">
      <c r="A297" s="101"/>
      <c r="B297" s="102"/>
      <c r="C297" s="102"/>
      <c r="D297" s="102"/>
      <c r="E297" s="102"/>
      <c r="F297" s="102"/>
      <c r="G297" s="102"/>
      <c r="H297" s="103"/>
      <c r="I297" s="75"/>
      <c r="J297" s="69"/>
      <c r="K297" s="69"/>
      <c r="L297" s="69"/>
      <c r="M297" s="69"/>
      <c r="N297" s="114"/>
      <c r="O297" s="34"/>
      <c r="P297" s="34"/>
      <c r="Q297" s="2">
        <f t="shared" si="734"/>
        <v>11</v>
      </c>
      <c r="R297" s="2">
        <f t="shared" si="731"/>
        <v>-11</v>
      </c>
      <c r="S297" s="2"/>
      <c r="T297" s="2"/>
      <c r="U297" s="2">
        <v>4.45</v>
      </c>
      <c r="V297" s="10">
        <f t="shared" ref="V297" si="737">0.098*J298*M298*Q297</f>
        <v>0</v>
      </c>
      <c r="W297" s="2">
        <f t="shared" ref="W297" si="738">0.098*J298*M298*(S297-T297)</f>
        <v>0</v>
      </c>
      <c r="X297" s="84"/>
      <c r="Y297" s="82"/>
      <c r="Z297" s="125"/>
    </row>
    <row r="298" spans="1:27" x14ac:dyDescent="0.2">
      <c r="A298" s="101"/>
      <c r="B298" s="102"/>
      <c r="C298" s="102"/>
      <c r="D298" s="102"/>
      <c r="E298" s="102"/>
      <c r="F298" s="102"/>
      <c r="G298" s="102"/>
      <c r="H298" s="103"/>
      <c r="I298" s="75"/>
      <c r="J298" s="86">
        <f t="shared" ref="J298" si="739">(9*F294)/1000</f>
        <v>0.46355399999999991</v>
      </c>
      <c r="K298" s="89"/>
      <c r="L298" s="92"/>
      <c r="M298" s="92"/>
      <c r="N298" s="114"/>
      <c r="O298" s="34"/>
      <c r="P298" s="34"/>
      <c r="Q298" s="2">
        <f t="shared" si="734"/>
        <v>9</v>
      </c>
      <c r="R298" s="2">
        <f t="shared" si="731"/>
        <v>-9</v>
      </c>
      <c r="S298" s="2"/>
      <c r="T298" s="2"/>
      <c r="U298" s="2">
        <v>4.45</v>
      </c>
      <c r="V298" s="10">
        <f t="shared" ref="V298" si="740">0.098*J298*M298*Q298</f>
        <v>0</v>
      </c>
      <c r="W298" s="2">
        <f t="shared" ref="W298" si="741">0.098*J298*M298*(S298-T298)</f>
        <v>0</v>
      </c>
      <c r="X298" s="84"/>
      <c r="Y298" s="82"/>
      <c r="Z298" s="101">
        <f t="shared" ref="Z298" si="742">_xlfn.STDEV.S(R295:R300)</f>
        <v>3.7416573867739413</v>
      </c>
    </row>
    <row r="299" spans="1:27" x14ac:dyDescent="0.2">
      <c r="A299" s="101"/>
      <c r="B299" s="102"/>
      <c r="C299" s="102"/>
      <c r="D299" s="102"/>
      <c r="E299" s="102"/>
      <c r="F299" s="102"/>
      <c r="G299" s="102"/>
      <c r="H299" s="103"/>
      <c r="I299" s="75"/>
      <c r="J299" s="87"/>
      <c r="K299" s="90"/>
      <c r="L299" s="93"/>
      <c r="M299" s="93"/>
      <c r="N299" s="114"/>
      <c r="O299" s="34"/>
      <c r="P299" s="34"/>
      <c r="Q299" s="2">
        <f t="shared" si="734"/>
        <v>7</v>
      </c>
      <c r="R299" s="2">
        <f t="shared" si="731"/>
        <v>-7</v>
      </c>
      <c r="S299" s="2"/>
      <c r="T299" s="2"/>
      <c r="U299" s="2">
        <v>4.45</v>
      </c>
      <c r="V299" s="10">
        <f t="shared" ref="V299" si="743">0.098*J298*M298*Q299</f>
        <v>0</v>
      </c>
      <c r="W299" s="2">
        <f t="shared" ref="W299" si="744">0.098*J298*M298*(S299-T299)</f>
        <v>0</v>
      </c>
      <c r="X299" s="84"/>
      <c r="Y299" s="82"/>
      <c r="Z299" s="101"/>
    </row>
    <row r="300" spans="1:27" ht="17" thickBot="1" x14ac:dyDescent="0.25">
      <c r="A300" s="104"/>
      <c r="B300" s="105"/>
      <c r="C300" s="105"/>
      <c r="D300" s="105"/>
      <c r="E300" s="105"/>
      <c r="F300" s="105"/>
      <c r="G300" s="105"/>
      <c r="H300" s="106"/>
      <c r="I300" s="117"/>
      <c r="J300" s="88"/>
      <c r="K300" s="91"/>
      <c r="L300" s="94"/>
      <c r="M300" s="94"/>
      <c r="N300" s="115"/>
      <c r="O300" s="35"/>
      <c r="P300" s="35"/>
      <c r="Q300" s="20">
        <f t="shared" si="734"/>
        <v>5</v>
      </c>
      <c r="R300" s="2">
        <f t="shared" si="731"/>
        <v>-5</v>
      </c>
      <c r="S300" s="20"/>
      <c r="T300" s="20"/>
      <c r="U300" s="2">
        <v>4.45</v>
      </c>
      <c r="V300" s="21">
        <f t="shared" ref="V300" si="745">0.098*J298*M298*Q300</f>
        <v>0</v>
      </c>
      <c r="W300" s="20">
        <f t="shared" ref="W300" si="746">0.098*J298*M298*(S300-T300)</f>
        <v>0</v>
      </c>
      <c r="X300" s="85"/>
      <c r="Y300" s="83"/>
      <c r="Z300" s="101"/>
    </row>
    <row r="301" spans="1:27" x14ac:dyDescent="0.2">
      <c r="A301" s="107" t="s">
        <v>8</v>
      </c>
      <c r="B301" s="110" t="s">
        <v>3</v>
      </c>
      <c r="C301" s="110" t="s">
        <v>7</v>
      </c>
      <c r="D301" s="110" t="s">
        <v>9</v>
      </c>
      <c r="E301" s="71" t="s">
        <v>11</v>
      </c>
      <c r="F301" s="71" t="s">
        <v>10</v>
      </c>
      <c r="G301" s="71" t="s">
        <v>12</v>
      </c>
      <c r="H301" s="71" t="s">
        <v>32</v>
      </c>
      <c r="I301" s="74" t="s">
        <v>14</v>
      </c>
      <c r="J301" s="67" t="s">
        <v>31</v>
      </c>
      <c r="K301" s="67" t="s">
        <v>33</v>
      </c>
      <c r="L301" s="67" t="s">
        <v>17</v>
      </c>
      <c r="M301" s="67" t="s">
        <v>0</v>
      </c>
      <c r="N301" s="113" t="s">
        <v>16</v>
      </c>
      <c r="O301" s="4" t="s">
        <v>6</v>
      </c>
      <c r="P301" s="4" t="s">
        <v>34</v>
      </c>
      <c r="Q301" s="17" t="s">
        <v>2</v>
      </c>
      <c r="R301" s="17" t="s">
        <v>1</v>
      </c>
      <c r="S301" s="17" t="s">
        <v>25</v>
      </c>
      <c r="T301" s="17" t="s">
        <v>26</v>
      </c>
      <c r="U301" s="18" t="s">
        <v>20</v>
      </c>
      <c r="V301" s="18" t="s">
        <v>22</v>
      </c>
      <c r="W301" s="18" t="s">
        <v>24</v>
      </c>
      <c r="X301" s="77" t="s">
        <v>19</v>
      </c>
      <c r="Y301" s="79" t="s">
        <v>23</v>
      </c>
      <c r="Z301" s="125" t="s">
        <v>39</v>
      </c>
    </row>
    <row r="302" spans="1:27" x14ac:dyDescent="0.2">
      <c r="A302" s="108"/>
      <c r="B302" s="111"/>
      <c r="C302" s="111"/>
      <c r="D302" s="111"/>
      <c r="E302" s="72"/>
      <c r="F302" s="72"/>
      <c r="G302" s="72"/>
      <c r="H302" s="72"/>
      <c r="I302" s="75"/>
      <c r="J302" s="68"/>
      <c r="K302" s="68"/>
      <c r="L302" s="68"/>
      <c r="M302" s="68"/>
      <c r="N302" s="114"/>
      <c r="O302" s="34"/>
      <c r="P302" s="34"/>
      <c r="Q302" s="2">
        <v>15</v>
      </c>
      <c r="R302" s="2">
        <f t="shared" ref="R302:R307" si="747">T302-Q302</f>
        <v>-15</v>
      </c>
      <c r="S302" s="2"/>
      <c r="T302" s="2"/>
      <c r="U302" s="9">
        <f t="shared" ref="U302" si="748">0.098*J305*M305*0.5*R302</f>
        <v>0</v>
      </c>
      <c r="V302" s="9">
        <f t="shared" ref="V302" si="749">0.098*J305*M305*Q302</f>
        <v>0</v>
      </c>
      <c r="W302" s="8">
        <f t="shared" ref="W302" si="750">0.098*J305*M305*(S302-T302)</f>
        <v>0</v>
      </c>
      <c r="X302" s="78"/>
      <c r="Y302" s="80"/>
      <c r="Z302" s="125"/>
    </row>
    <row r="303" spans="1:27" x14ac:dyDescent="0.2">
      <c r="A303" s="108"/>
      <c r="B303" s="111"/>
      <c r="C303" s="111"/>
      <c r="D303" s="111"/>
      <c r="E303" s="72"/>
      <c r="F303" s="72"/>
      <c r="G303" s="72"/>
      <c r="H303" s="72"/>
      <c r="I303" s="75"/>
      <c r="J303" s="68"/>
      <c r="K303" s="68"/>
      <c r="L303" s="68"/>
      <c r="M303" s="68"/>
      <c r="N303" s="114"/>
      <c r="O303" s="34"/>
      <c r="P303" s="34"/>
      <c r="Q303" s="2">
        <f t="shared" ref="Q303:Q307" si="751">Q302-2</f>
        <v>13</v>
      </c>
      <c r="R303" s="2">
        <f t="shared" si="747"/>
        <v>-13</v>
      </c>
      <c r="S303" s="2"/>
      <c r="T303" s="2"/>
      <c r="U303" s="9">
        <f t="shared" ref="U303" si="752">0.098*J305*M305*0.5*R303</f>
        <v>0</v>
      </c>
      <c r="V303" s="9">
        <f t="shared" ref="V303" si="753">0.098*J305*M305*Q303</f>
        <v>0</v>
      </c>
      <c r="W303" s="8">
        <f t="shared" ref="W303" si="754">0.098*J305*M305*(S303-T303)</f>
        <v>0</v>
      </c>
      <c r="X303" s="23"/>
      <c r="Y303" s="81"/>
      <c r="Z303" s="125"/>
    </row>
    <row r="304" spans="1:27" x14ac:dyDescent="0.2">
      <c r="A304" s="108"/>
      <c r="B304" s="111"/>
      <c r="C304" s="111"/>
      <c r="D304" s="111"/>
      <c r="E304" s="72"/>
      <c r="F304" s="72"/>
      <c r="G304" s="72"/>
      <c r="H304" s="72"/>
      <c r="I304" s="75"/>
      <c r="J304" s="69"/>
      <c r="K304" s="69"/>
      <c r="L304" s="69"/>
      <c r="M304" s="69"/>
      <c r="N304" s="114"/>
      <c r="O304" s="34"/>
      <c r="P304" s="34"/>
      <c r="Q304" s="2">
        <f t="shared" si="751"/>
        <v>11</v>
      </c>
      <c r="R304" s="2">
        <f t="shared" si="747"/>
        <v>-11</v>
      </c>
      <c r="S304" s="2"/>
      <c r="T304" s="2"/>
      <c r="U304" s="9">
        <f t="shared" ref="U304" si="755">0.098*J305*M305*0.5*R304</f>
        <v>0</v>
      </c>
      <c r="V304" s="9">
        <f t="shared" ref="V304" si="756">0.098*J305*M305*Q304</f>
        <v>0</v>
      </c>
      <c r="W304" s="8">
        <f t="shared" ref="W304" si="757">0.098*J305*M305*(S304-T304)</f>
        <v>0</v>
      </c>
      <c r="X304" s="84"/>
      <c r="Y304" s="82"/>
      <c r="Z304" s="125"/>
    </row>
    <row r="305" spans="1:26" x14ac:dyDescent="0.2">
      <c r="A305" s="108"/>
      <c r="B305" s="111"/>
      <c r="C305" s="111"/>
      <c r="D305" s="111"/>
      <c r="E305" s="72"/>
      <c r="F305" s="72"/>
      <c r="G305" s="72"/>
      <c r="H305" s="72"/>
      <c r="I305" s="75"/>
      <c r="J305" s="86">
        <f t="shared" ref="J305" si="758">(7*F308)/1000</f>
        <v>-0.62078800000000001</v>
      </c>
      <c r="K305" s="89"/>
      <c r="L305" s="92"/>
      <c r="M305" s="92"/>
      <c r="N305" s="114"/>
      <c r="O305" s="34"/>
      <c r="P305" s="34"/>
      <c r="Q305" s="2">
        <f t="shared" si="751"/>
        <v>9</v>
      </c>
      <c r="R305" s="2">
        <f t="shared" si="747"/>
        <v>-9</v>
      </c>
      <c r="S305" s="2"/>
      <c r="T305" s="2"/>
      <c r="U305" s="9">
        <f t="shared" ref="U305" si="759">0.098*J305*M305*0.5*R305</f>
        <v>0</v>
      </c>
      <c r="V305" s="9">
        <f t="shared" ref="V305" si="760">0.098*J305*M305*Q305</f>
        <v>0</v>
      </c>
      <c r="W305" s="8">
        <f t="shared" ref="W305" si="761">0.098*J305*M305*(S305-T305)</f>
        <v>0</v>
      </c>
      <c r="X305" s="84"/>
      <c r="Y305" s="82"/>
      <c r="Z305" s="101">
        <f t="shared" ref="Z305" si="762">_xlfn.STDEV.S(R302:R307)</f>
        <v>3.7416573867739413</v>
      </c>
    </row>
    <row r="306" spans="1:26" x14ac:dyDescent="0.2">
      <c r="A306" s="108"/>
      <c r="B306" s="111"/>
      <c r="C306" s="111"/>
      <c r="D306" s="111"/>
      <c r="E306" s="72"/>
      <c r="F306" s="72"/>
      <c r="G306" s="72"/>
      <c r="H306" s="72"/>
      <c r="I306" s="75"/>
      <c r="J306" s="87"/>
      <c r="K306" s="90"/>
      <c r="L306" s="93"/>
      <c r="M306" s="93"/>
      <c r="N306" s="114"/>
      <c r="O306" s="34"/>
      <c r="P306" s="34"/>
      <c r="Q306" s="2">
        <f t="shared" si="751"/>
        <v>7</v>
      </c>
      <c r="R306" s="2">
        <f t="shared" si="747"/>
        <v>-7</v>
      </c>
      <c r="S306" s="2"/>
      <c r="T306" s="2"/>
      <c r="U306" s="9">
        <f t="shared" ref="U306" si="763">0.098*J305*M305*0.5*R306</f>
        <v>0</v>
      </c>
      <c r="V306" s="9">
        <f t="shared" ref="V306" si="764">0.098*J305*M305*Q306</f>
        <v>0</v>
      </c>
      <c r="W306" s="8">
        <f t="shared" ref="W306" si="765">0.098*J305*M305*(S306-T306)</f>
        <v>0</v>
      </c>
      <c r="X306" s="84"/>
      <c r="Y306" s="82"/>
      <c r="Z306" s="101"/>
    </row>
    <row r="307" spans="1:26" ht="17" thickBot="1" x14ac:dyDescent="0.25">
      <c r="A307" s="109"/>
      <c r="B307" s="112"/>
      <c r="C307" s="112"/>
      <c r="D307" s="112"/>
      <c r="E307" s="73"/>
      <c r="F307" s="73"/>
      <c r="G307" s="73"/>
      <c r="H307" s="73"/>
      <c r="I307" s="76"/>
      <c r="J307" s="97"/>
      <c r="K307" s="96"/>
      <c r="L307" s="95"/>
      <c r="M307" s="95"/>
      <c r="N307" s="114"/>
      <c r="O307" s="34"/>
      <c r="P307" s="34"/>
      <c r="Q307" s="2">
        <f t="shared" si="751"/>
        <v>5</v>
      </c>
      <c r="R307" s="2">
        <f t="shared" si="747"/>
        <v>-5</v>
      </c>
      <c r="S307" s="2"/>
      <c r="T307" s="2"/>
      <c r="U307" s="9">
        <f t="shared" ref="U307" si="766">0.098*J305*M305*0.5*R307</f>
        <v>0</v>
      </c>
      <c r="V307" s="9">
        <f t="shared" ref="V307" si="767">0.098*J305*M305*Q307</f>
        <v>0</v>
      </c>
      <c r="W307" s="8">
        <f t="shared" ref="W307" si="768">0.098*J305*M305*(S307-T307)</f>
        <v>0</v>
      </c>
      <c r="X307" s="84"/>
      <c r="Y307" s="82"/>
      <c r="Z307" s="101"/>
    </row>
    <row r="308" spans="1:26" x14ac:dyDescent="0.2">
      <c r="A308" s="19">
        <f t="shared" si="728"/>
        <v>21</v>
      </c>
      <c r="B308" s="3" t="s">
        <v>5</v>
      </c>
      <c r="C308" s="3"/>
      <c r="D308" s="3"/>
      <c r="E308" s="3"/>
      <c r="F308" s="3">
        <f t="shared" ref="F308" si="769">IF(B308="M", 50 + 0.91*(D308-152.4), IF(B308="F", 45.5 + 0.91*(D308-152.4), ""))</f>
        <v>-88.683999999999997</v>
      </c>
      <c r="G308" s="3"/>
      <c r="H308" s="3" t="e">
        <f t="shared" ref="H308" si="770">E308/(D308*10^-2)^2</f>
        <v>#DIV/0!</v>
      </c>
      <c r="I308" s="116" t="s">
        <v>15</v>
      </c>
      <c r="J308" s="70" t="s">
        <v>31</v>
      </c>
      <c r="K308" s="70" t="s">
        <v>33</v>
      </c>
      <c r="L308" s="70" t="s">
        <v>17</v>
      </c>
      <c r="M308" s="70" t="s">
        <v>0</v>
      </c>
      <c r="N308" s="114"/>
      <c r="O308" s="4" t="s">
        <v>6</v>
      </c>
      <c r="P308" s="4" t="s">
        <v>34</v>
      </c>
      <c r="Q308" s="6" t="s">
        <v>2</v>
      </c>
      <c r="R308" s="17" t="s">
        <v>1</v>
      </c>
      <c r="S308" s="17" t="s">
        <v>25</v>
      </c>
      <c r="T308" s="17" t="s">
        <v>26</v>
      </c>
      <c r="U308" s="7" t="s">
        <v>21</v>
      </c>
      <c r="V308" s="7" t="s">
        <v>22</v>
      </c>
      <c r="W308" s="7" t="s">
        <v>24</v>
      </c>
      <c r="X308" s="84"/>
      <c r="Y308" s="82"/>
      <c r="Z308" s="125" t="s">
        <v>39</v>
      </c>
    </row>
    <row r="309" spans="1:26" x14ac:dyDescent="0.2">
      <c r="A309" s="98"/>
      <c r="B309" s="99"/>
      <c r="C309" s="99"/>
      <c r="D309" s="99"/>
      <c r="E309" s="99"/>
      <c r="F309" s="99"/>
      <c r="G309" s="99"/>
      <c r="H309" s="100"/>
      <c r="I309" s="75"/>
      <c r="J309" s="68"/>
      <c r="K309" s="68"/>
      <c r="L309" s="68"/>
      <c r="M309" s="68"/>
      <c r="N309" s="114"/>
      <c r="O309" s="34"/>
      <c r="P309" s="34"/>
      <c r="Q309" s="2">
        <v>15</v>
      </c>
      <c r="R309" s="2">
        <f t="shared" ref="R309:R314" si="771">T309-Q309</f>
        <v>-15</v>
      </c>
      <c r="S309" s="2"/>
      <c r="T309" s="2"/>
      <c r="U309" s="2">
        <f t="shared" ref="U309" si="772">0.098*J312*M312*0.5*R309</f>
        <v>0</v>
      </c>
      <c r="V309" s="10">
        <f t="shared" ref="V309" si="773">0.098*J312*M312*Q309</f>
        <v>0</v>
      </c>
      <c r="W309" s="2">
        <f t="shared" ref="W309" si="774">0.098*J312*M312*(S309-T309)</f>
        <v>0</v>
      </c>
      <c r="X309" s="84"/>
      <c r="Y309" s="82"/>
      <c r="Z309" s="125"/>
    </row>
    <row r="310" spans="1:26" x14ac:dyDescent="0.2">
      <c r="A310" s="101"/>
      <c r="B310" s="102"/>
      <c r="C310" s="102"/>
      <c r="D310" s="102"/>
      <c r="E310" s="102"/>
      <c r="F310" s="102"/>
      <c r="G310" s="102"/>
      <c r="H310" s="103"/>
      <c r="I310" s="75"/>
      <c r="J310" s="68"/>
      <c r="K310" s="68"/>
      <c r="L310" s="68"/>
      <c r="M310" s="68"/>
      <c r="N310" s="114"/>
      <c r="O310" s="34"/>
      <c r="P310" s="34"/>
      <c r="Q310" s="2">
        <f t="shared" ref="Q310:Q314" si="775">Q309-2</f>
        <v>13</v>
      </c>
      <c r="R310" s="2">
        <f t="shared" si="771"/>
        <v>-13</v>
      </c>
      <c r="S310" s="2"/>
      <c r="T310" s="2"/>
      <c r="U310" s="2">
        <f t="shared" ref="U310" si="776">0.098*J312*M312*0.5*R310</f>
        <v>0</v>
      </c>
      <c r="V310" s="10">
        <f t="shared" ref="V310" si="777">0.098*J312*M312*Q310</f>
        <v>0</v>
      </c>
      <c r="W310" s="2">
        <f t="shared" ref="W310" si="778">0.098*J312*M312*(S310-T310)</f>
        <v>0</v>
      </c>
      <c r="X310" s="84"/>
      <c r="Y310" s="82"/>
      <c r="Z310" s="125"/>
    </row>
    <row r="311" spans="1:26" x14ac:dyDescent="0.2">
      <c r="A311" s="101"/>
      <c r="B311" s="102"/>
      <c r="C311" s="102"/>
      <c r="D311" s="102"/>
      <c r="E311" s="102"/>
      <c r="F311" s="102"/>
      <c r="G311" s="102"/>
      <c r="H311" s="103"/>
      <c r="I311" s="75"/>
      <c r="J311" s="69"/>
      <c r="K311" s="69"/>
      <c r="L311" s="69"/>
      <c r="M311" s="69"/>
      <c r="N311" s="114"/>
      <c r="O311" s="34"/>
      <c r="P311" s="34"/>
      <c r="Q311" s="2">
        <f t="shared" si="775"/>
        <v>11</v>
      </c>
      <c r="R311" s="2">
        <f t="shared" si="771"/>
        <v>-11</v>
      </c>
      <c r="S311" s="2"/>
      <c r="T311" s="2"/>
      <c r="U311" s="2">
        <f t="shared" ref="U311" si="779">0.098*J312*M312*0.5*R311</f>
        <v>0</v>
      </c>
      <c r="V311" s="10">
        <f t="shared" ref="V311" si="780">0.098*J312*M312*Q311</f>
        <v>0</v>
      </c>
      <c r="W311" s="2">
        <f t="shared" ref="W311" si="781">0.098*J312*M312*(S311-T311)</f>
        <v>0</v>
      </c>
      <c r="X311" s="84"/>
      <c r="Y311" s="82"/>
      <c r="Z311" s="125"/>
    </row>
    <row r="312" spans="1:26" x14ac:dyDescent="0.2">
      <c r="A312" s="101"/>
      <c r="B312" s="102"/>
      <c r="C312" s="102"/>
      <c r="D312" s="102"/>
      <c r="E312" s="102"/>
      <c r="F312" s="102"/>
      <c r="G312" s="102"/>
      <c r="H312" s="103"/>
      <c r="I312" s="75"/>
      <c r="J312" s="86">
        <f t="shared" ref="J312" si="782">(9*F308)/1000</f>
        <v>-0.79815599999999998</v>
      </c>
      <c r="K312" s="89"/>
      <c r="L312" s="92"/>
      <c r="M312" s="92"/>
      <c r="N312" s="114"/>
      <c r="O312" s="34"/>
      <c r="P312" s="34"/>
      <c r="Q312" s="2">
        <f t="shared" si="775"/>
        <v>9</v>
      </c>
      <c r="R312" s="2">
        <f t="shared" si="771"/>
        <v>-9</v>
      </c>
      <c r="S312" s="2"/>
      <c r="T312" s="2"/>
      <c r="U312" s="2">
        <f t="shared" ref="U312" si="783">0.098*J312*M312*0.5*R312</f>
        <v>0</v>
      </c>
      <c r="V312" s="10">
        <f t="shared" ref="V312" si="784">0.098*J312*M312*Q312</f>
        <v>0</v>
      </c>
      <c r="W312" s="2">
        <f t="shared" ref="W312" si="785">0.098*J312*M312*(S312-T312)</f>
        <v>0</v>
      </c>
      <c r="X312" s="84"/>
      <c r="Y312" s="82"/>
      <c r="Z312" s="101">
        <f t="shared" ref="Z312" si="786">_xlfn.STDEV.S(R309:R314)</f>
        <v>3.7416573867739413</v>
      </c>
    </row>
    <row r="313" spans="1:26" x14ac:dyDescent="0.2">
      <c r="A313" s="101"/>
      <c r="B313" s="102"/>
      <c r="C313" s="102"/>
      <c r="D313" s="102"/>
      <c r="E313" s="102"/>
      <c r="F313" s="102"/>
      <c r="G313" s="102"/>
      <c r="H313" s="103"/>
      <c r="I313" s="75"/>
      <c r="J313" s="87"/>
      <c r="K313" s="90"/>
      <c r="L313" s="93"/>
      <c r="M313" s="93"/>
      <c r="N313" s="114"/>
      <c r="O313" s="34"/>
      <c r="P313" s="34"/>
      <c r="Q313" s="2">
        <f t="shared" si="775"/>
        <v>7</v>
      </c>
      <c r="R313" s="2">
        <f t="shared" si="771"/>
        <v>-7</v>
      </c>
      <c r="S313" s="2"/>
      <c r="T313" s="2"/>
      <c r="U313" s="2">
        <f t="shared" ref="U313" si="787">0.098*J312*M312*0.5*R313</f>
        <v>0</v>
      </c>
      <c r="V313" s="10">
        <f t="shared" ref="V313" si="788">0.098*J312*M312*Q313</f>
        <v>0</v>
      </c>
      <c r="W313" s="2">
        <f t="shared" ref="W313" si="789">0.098*J312*M312*(S313-T313)</f>
        <v>0</v>
      </c>
      <c r="X313" s="84"/>
      <c r="Y313" s="82"/>
      <c r="Z313" s="101"/>
    </row>
    <row r="314" spans="1:26" ht="17" thickBot="1" x14ac:dyDescent="0.25">
      <c r="A314" s="104"/>
      <c r="B314" s="105"/>
      <c r="C314" s="105"/>
      <c r="D314" s="105"/>
      <c r="E314" s="105"/>
      <c r="F314" s="105"/>
      <c r="G314" s="105"/>
      <c r="H314" s="106"/>
      <c r="I314" s="117"/>
      <c r="J314" s="88"/>
      <c r="K314" s="91"/>
      <c r="L314" s="94"/>
      <c r="M314" s="94"/>
      <c r="N314" s="115"/>
      <c r="O314" s="35"/>
      <c r="P314" s="35"/>
      <c r="Q314" s="20">
        <f t="shared" si="775"/>
        <v>5</v>
      </c>
      <c r="R314" s="2">
        <f t="shared" si="771"/>
        <v>-5</v>
      </c>
      <c r="S314" s="20"/>
      <c r="T314" s="20"/>
      <c r="U314" s="20">
        <f t="shared" ref="U314" si="790">0.098*J312*M312*0.5*R314</f>
        <v>0</v>
      </c>
      <c r="V314" s="21">
        <f t="shared" ref="V314" si="791">0.098*J312*M312*Q314</f>
        <v>0</v>
      </c>
      <c r="W314" s="20">
        <f t="shared" ref="W314" si="792">0.098*J312*M312*(S314-T314)</f>
        <v>0</v>
      </c>
      <c r="X314" s="85"/>
      <c r="Y314" s="83"/>
      <c r="Z314" s="101"/>
    </row>
    <row r="315" spans="1:26" x14ac:dyDescent="0.2">
      <c r="A315" s="107" t="s">
        <v>8</v>
      </c>
      <c r="B315" s="110" t="s">
        <v>3</v>
      </c>
      <c r="C315" s="110" t="s">
        <v>7</v>
      </c>
      <c r="D315" s="110" t="s">
        <v>9</v>
      </c>
      <c r="E315" s="71" t="s">
        <v>11</v>
      </c>
      <c r="F315" s="71" t="s">
        <v>10</v>
      </c>
      <c r="G315" s="71" t="s">
        <v>12</v>
      </c>
      <c r="H315" s="71" t="s">
        <v>32</v>
      </c>
      <c r="I315" s="74" t="s">
        <v>14</v>
      </c>
      <c r="J315" s="67" t="s">
        <v>31</v>
      </c>
      <c r="K315" s="67" t="s">
        <v>33</v>
      </c>
      <c r="L315" s="67" t="s">
        <v>17</v>
      </c>
      <c r="M315" s="67" t="s">
        <v>0</v>
      </c>
      <c r="N315" s="113" t="s">
        <v>16</v>
      </c>
      <c r="O315" s="4" t="s">
        <v>6</v>
      </c>
      <c r="P315" s="4" t="s">
        <v>34</v>
      </c>
      <c r="Q315" s="17" t="s">
        <v>2</v>
      </c>
      <c r="R315" s="17" t="s">
        <v>1</v>
      </c>
      <c r="S315" s="17" t="s">
        <v>25</v>
      </c>
      <c r="T315" s="17" t="s">
        <v>26</v>
      </c>
      <c r="U315" s="18" t="s">
        <v>20</v>
      </c>
      <c r="V315" s="18" t="s">
        <v>22</v>
      </c>
      <c r="W315" s="18" t="s">
        <v>24</v>
      </c>
      <c r="X315" s="77" t="s">
        <v>19</v>
      </c>
      <c r="Y315" s="79" t="s">
        <v>23</v>
      </c>
      <c r="Z315" s="125" t="s">
        <v>39</v>
      </c>
    </row>
    <row r="316" spans="1:26" x14ac:dyDescent="0.2">
      <c r="A316" s="108"/>
      <c r="B316" s="111"/>
      <c r="C316" s="111"/>
      <c r="D316" s="111"/>
      <c r="E316" s="72"/>
      <c r="F316" s="72"/>
      <c r="G316" s="72"/>
      <c r="H316" s="72"/>
      <c r="I316" s="75"/>
      <c r="J316" s="68"/>
      <c r="K316" s="68"/>
      <c r="L316" s="68"/>
      <c r="M316" s="68"/>
      <c r="N316" s="114"/>
      <c r="O316" s="34"/>
      <c r="P316" s="34"/>
      <c r="Q316" s="2">
        <v>15</v>
      </c>
      <c r="R316" s="2">
        <f t="shared" ref="R316:R321" si="793">T316-Q316</f>
        <v>-15</v>
      </c>
      <c r="S316" s="2"/>
      <c r="T316" s="2"/>
      <c r="U316" s="9">
        <f t="shared" ref="U316" si="794">0.098*J319*M319*0.5*R316</f>
        <v>0</v>
      </c>
      <c r="V316" s="9">
        <f t="shared" ref="V316" si="795">0.098*J319*M319*Q316</f>
        <v>0</v>
      </c>
      <c r="W316" s="8">
        <f t="shared" ref="W316" si="796">0.098*J319*M319*(S316-T316)</f>
        <v>0</v>
      </c>
      <c r="X316" s="78"/>
      <c r="Y316" s="80"/>
      <c r="Z316" s="125"/>
    </row>
    <row r="317" spans="1:26" x14ac:dyDescent="0.2">
      <c r="A317" s="108"/>
      <c r="B317" s="111"/>
      <c r="C317" s="111"/>
      <c r="D317" s="111"/>
      <c r="E317" s="72"/>
      <c r="F317" s="72"/>
      <c r="G317" s="72"/>
      <c r="H317" s="72"/>
      <c r="I317" s="75"/>
      <c r="J317" s="68"/>
      <c r="K317" s="68"/>
      <c r="L317" s="68"/>
      <c r="M317" s="68"/>
      <c r="N317" s="114"/>
      <c r="O317" s="34"/>
      <c r="P317" s="34"/>
      <c r="Q317" s="2">
        <f t="shared" ref="Q317:Q321" si="797">Q316-2</f>
        <v>13</v>
      </c>
      <c r="R317" s="2">
        <f t="shared" si="793"/>
        <v>-13</v>
      </c>
      <c r="S317" s="2"/>
      <c r="T317" s="2"/>
      <c r="U317" s="9">
        <f t="shared" ref="U317" si="798">0.098*J319*M319*0.5*R317</f>
        <v>0</v>
      </c>
      <c r="V317" s="9">
        <f t="shared" ref="V317" si="799">0.098*J319*M319*Q317</f>
        <v>0</v>
      </c>
      <c r="W317" s="8">
        <f t="shared" ref="W317" si="800">0.098*J319*M319*(S317-T317)</f>
        <v>0</v>
      </c>
      <c r="X317" s="23"/>
      <c r="Y317" s="81"/>
      <c r="Z317" s="125"/>
    </row>
    <row r="318" spans="1:26" x14ac:dyDescent="0.2">
      <c r="A318" s="108"/>
      <c r="B318" s="111"/>
      <c r="C318" s="111"/>
      <c r="D318" s="111"/>
      <c r="E318" s="72"/>
      <c r="F318" s="72"/>
      <c r="G318" s="72"/>
      <c r="H318" s="72"/>
      <c r="I318" s="75"/>
      <c r="J318" s="69"/>
      <c r="K318" s="69"/>
      <c r="L318" s="69"/>
      <c r="M318" s="69"/>
      <c r="N318" s="114"/>
      <c r="O318" s="34"/>
      <c r="P318" s="34"/>
      <c r="Q318" s="2">
        <f t="shared" si="797"/>
        <v>11</v>
      </c>
      <c r="R318" s="2">
        <f t="shared" si="793"/>
        <v>-11</v>
      </c>
      <c r="S318" s="2"/>
      <c r="T318" s="2"/>
      <c r="U318" s="9">
        <f t="shared" ref="U318" si="801">0.098*J319*M319*0.5*R318</f>
        <v>0</v>
      </c>
      <c r="V318" s="9">
        <f t="shared" ref="V318" si="802">0.098*J319*M319*Q318</f>
        <v>0</v>
      </c>
      <c r="W318" s="8">
        <f t="shared" ref="W318" si="803">0.098*J319*M319*(S318-T318)</f>
        <v>0</v>
      </c>
      <c r="X318" s="84"/>
      <c r="Y318" s="82"/>
      <c r="Z318" s="125"/>
    </row>
    <row r="319" spans="1:26" x14ac:dyDescent="0.2">
      <c r="A319" s="108"/>
      <c r="B319" s="111"/>
      <c r="C319" s="111"/>
      <c r="D319" s="111"/>
      <c r="E319" s="72"/>
      <c r="F319" s="72"/>
      <c r="G319" s="72"/>
      <c r="H319" s="72"/>
      <c r="I319" s="75"/>
      <c r="J319" s="86">
        <f t="shared" ref="J319" si="804">(7*F322)/1000</f>
        <v>-0.62078800000000001</v>
      </c>
      <c r="K319" s="89"/>
      <c r="L319" s="92"/>
      <c r="M319" s="92"/>
      <c r="N319" s="114"/>
      <c r="O319" s="34"/>
      <c r="P319" s="34"/>
      <c r="Q319" s="2">
        <f t="shared" si="797"/>
        <v>9</v>
      </c>
      <c r="R319" s="2">
        <f t="shared" si="793"/>
        <v>-9</v>
      </c>
      <c r="S319" s="2"/>
      <c r="T319" s="2"/>
      <c r="U319" s="9">
        <f t="shared" ref="U319" si="805">0.098*J319*M319*0.5*R319</f>
        <v>0</v>
      </c>
      <c r="V319" s="9">
        <f t="shared" ref="V319" si="806">0.098*J319*M319*Q319</f>
        <v>0</v>
      </c>
      <c r="W319" s="8">
        <f t="shared" ref="W319" si="807">0.098*J319*M319*(S319-T319)</f>
        <v>0</v>
      </c>
      <c r="X319" s="84"/>
      <c r="Y319" s="82"/>
      <c r="Z319" s="101">
        <f t="shared" ref="Z319" si="808">_xlfn.STDEV.S(R316:R321)</f>
        <v>3.7416573867739413</v>
      </c>
    </row>
    <row r="320" spans="1:26" x14ac:dyDescent="0.2">
      <c r="A320" s="108"/>
      <c r="B320" s="111"/>
      <c r="C320" s="111"/>
      <c r="D320" s="111"/>
      <c r="E320" s="72"/>
      <c r="F320" s="72"/>
      <c r="G320" s="72"/>
      <c r="H320" s="72"/>
      <c r="I320" s="75"/>
      <c r="J320" s="87"/>
      <c r="K320" s="90"/>
      <c r="L320" s="93"/>
      <c r="M320" s="93"/>
      <c r="N320" s="114"/>
      <c r="O320" s="34"/>
      <c r="P320" s="34"/>
      <c r="Q320" s="2">
        <f t="shared" si="797"/>
        <v>7</v>
      </c>
      <c r="R320" s="2">
        <f t="shared" si="793"/>
        <v>-7</v>
      </c>
      <c r="S320" s="2"/>
      <c r="T320" s="2"/>
      <c r="U320" s="9">
        <f t="shared" ref="U320" si="809">0.098*J319*M319*0.5*R320</f>
        <v>0</v>
      </c>
      <c r="V320" s="9">
        <f t="shared" ref="V320" si="810">0.098*J319*M319*Q320</f>
        <v>0</v>
      </c>
      <c r="W320" s="8">
        <f t="shared" ref="W320" si="811">0.098*J319*M319*(S320-T320)</f>
        <v>0</v>
      </c>
      <c r="X320" s="84"/>
      <c r="Y320" s="82"/>
      <c r="Z320" s="101"/>
    </row>
    <row r="321" spans="1:26" ht="17" thickBot="1" x14ac:dyDescent="0.25">
      <c r="A321" s="109"/>
      <c r="B321" s="112"/>
      <c r="C321" s="112"/>
      <c r="D321" s="112"/>
      <c r="E321" s="73"/>
      <c r="F321" s="73"/>
      <c r="G321" s="73"/>
      <c r="H321" s="73"/>
      <c r="I321" s="76"/>
      <c r="J321" s="97"/>
      <c r="K321" s="96"/>
      <c r="L321" s="95"/>
      <c r="M321" s="95"/>
      <c r="N321" s="114"/>
      <c r="O321" s="34"/>
      <c r="P321" s="34"/>
      <c r="Q321" s="2">
        <f t="shared" si="797"/>
        <v>5</v>
      </c>
      <c r="R321" s="2">
        <f t="shared" si="793"/>
        <v>-5</v>
      </c>
      <c r="S321" s="2"/>
      <c r="T321" s="2"/>
      <c r="U321" s="9">
        <f t="shared" ref="U321" si="812">0.098*J319*M319*0.5*R321</f>
        <v>0</v>
      </c>
      <c r="V321" s="9">
        <f t="shared" ref="V321" si="813">0.098*J319*M319*Q321</f>
        <v>0</v>
      </c>
      <c r="W321" s="8">
        <f t="shared" ref="W321" si="814">0.098*J319*M319*(S321-T321)</f>
        <v>0</v>
      </c>
      <c r="X321" s="84"/>
      <c r="Y321" s="82"/>
      <c r="Z321" s="101"/>
    </row>
    <row r="322" spans="1:26" x14ac:dyDescent="0.2">
      <c r="A322" s="19">
        <f t="shared" si="728"/>
        <v>22</v>
      </c>
      <c r="B322" s="3" t="s">
        <v>5</v>
      </c>
      <c r="C322" s="3"/>
      <c r="D322" s="3"/>
      <c r="E322" s="3"/>
      <c r="F322" s="3">
        <f t="shared" ref="F322" si="815">IF(B322="M", 50 + 0.91*(D322-152.4), IF(B322="F", 45.5 + 0.91*(D322-152.4), ""))</f>
        <v>-88.683999999999997</v>
      </c>
      <c r="G322" s="3"/>
      <c r="H322" s="3" t="e">
        <f t="shared" ref="H322" si="816">E322/(D322*10^-2)^2</f>
        <v>#DIV/0!</v>
      </c>
      <c r="I322" s="116" t="s">
        <v>15</v>
      </c>
      <c r="J322" s="70" t="s">
        <v>31</v>
      </c>
      <c r="K322" s="70" t="s">
        <v>33</v>
      </c>
      <c r="L322" s="70" t="s">
        <v>17</v>
      </c>
      <c r="M322" s="70" t="s">
        <v>0</v>
      </c>
      <c r="N322" s="114"/>
      <c r="O322" s="4" t="s">
        <v>6</v>
      </c>
      <c r="P322" s="4" t="s">
        <v>34</v>
      </c>
      <c r="Q322" s="6" t="s">
        <v>2</v>
      </c>
      <c r="R322" s="17" t="s">
        <v>1</v>
      </c>
      <c r="S322" s="17" t="s">
        <v>25</v>
      </c>
      <c r="T322" s="17" t="s">
        <v>26</v>
      </c>
      <c r="U322" s="7" t="s">
        <v>21</v>
      </c>
      <c r="V322" s="7" t="s">
        <v>22</v>
      </c>
      <c r="W322" s="7" t="s">
        <v>24</v>
      </c>
      <c r="X322" s="84"/>
      <c r="Y322" s="82"/>
      <c r="Z322" s="125" t="s">
        <v>39</v>
      </c>
    </row>
    <row r="323" spans="1:26" x14ac:dyDescent="0.2">
      <c r="A323" s="98"/>
      <c r="B323" s="99"/>
      <c r="C323" s="99"/>
      <c r="D323" s="99"/>
      <c r="E323" s="99"/>
      <c r="F323" s="99"/>
      <c r="G323" s="99"/>
      <c r="H323" s="100"/>
      <c r="I323" s="75"/>
      <c r="J323" s="68"/>
      <c r="K323" s="68"/>
      <c r="L323" s="68"/>
      <c r="M323" s="68"/>
      <c r="N323" s="114"/>
      <c r="O323" s="34"/>
      <c r="P323" s="34"/>
      <c r="Q323" s="2">
        <v>15</v>
      </c>
      <c r="R323" s="2">
        <f t="shared" ref="R323:R328" si="817">T323-Q323</f>
        <v>-15</v>
      </c>
      <c r="S323" s="2"/>
      <c r="T323" s="2"/>
      <c r="U323" s="2">
        <f t="shared" ref="U323" si="818">0.098*J326*M326*0.5*R323</f>
        <v>0</v>
      </c>
      <c r="V323" s="10">
        <f t="shared" ref="V323" si="819">0.098*J326*M326*Q323</f>
        <v>0</v>
      </c>
      <c r="W323" s="2">
        <f t="shared" ref="W323" si="820">0.098*J326*M326*(S323-T323)</f>
        <v>0</v>
      </c>
      <c r="X323" s="84"/>
      <c r="Y323" s="82"/>
      <c r="Z323" s="125"/>
    </row>
    <row r="324" spans="1:26" x14ac:dyDescent="0.2">
      <c r="A324" s="101"/>
      <c r="B324" s="102"/>
      <c r="C324" s="102"/>
      <c r="D324" s="102"/>
      <c r="E324" s="102"/>
      <c r="F324" s="102"/>
      <c r="G324" s="102"/>
      <c r="H324" s="103"/>
      <c r="I324" s="75"/>
      <c r="J324" s="68"/>
      <c r="K324" s="68"/>
      <c r="L324" s="68"/>
      <c r="M324" s="68"/>
      <c r="N324" s="114"/>
      <c r="O324" s="34"/>
      <c r="P324" s="34"/>
      <c r="Q324" s="2">
        <f t="shared" ref="Q324:Q328" si="821">Q323-2</f>
        <v>13</v>
      </c>
      <c r="R324" s="2">
        <f t="shared" si="817"/>
        <v>-13</v>
      </c>
      <c r="S324" s="2"/>
      <c r="T324" s="2"/>
      <c r="U324" s="2">
        <f t="shared" ref="U324" si="822">0.098*J326*M326*0.5*R324</f>
        <v>0</v>
      </c>
      <c r="V324" s="10">
        <f t="shared" ref="V324" si="823">0.098*J326*M326*Q324</f>
        <v>0</v>
      </c>
      <c r="W324" s="2">
        <f t="shared" ref="W324" si="824">0.098*J326*M326*(S324-T324)</f>
        <v>0</v>
      </c>
      <c r="X324" s="84"/>
      <c r="Y324" s="82"/>
      <c r="Z324" s="125"/>
    </row>
    <row r="325" spans="1:26" x14ac:dyDescent="0.2">
      <c r="A325" s="101"/>
      <c r="B325" s="102"/>
      <c r="C325" s="102"/>
      <c r="D325" s="102"/>
      <c r="E325" s="102"/>
      <c r="F325" s="102"/>
      <c r="G325" s="102"/>
      <c r="H325" s="103"/>
      <c r="I325" s="75"/>
      <c r="J325" s="69"/>
      <c r="K325" s="69"/>
      <c r="L325" s="69"/>
      <c r="M325" s="69"/>
      <c r="N325" s="114"/>
      <c r="O325" s="34"/>
      <c r="P325" s="34"/>
      <c r="Q325" s="2">
        <f t="shared" si="821"/>
        <v>11</v>
      </c>
      <c r="R325" s="2">
        <f t="shared" si="817"/>
        <v>-11</v>
      </c>
      <c r="S325" s="2"/>
      <c r="T325" s="2"/>
      <c r="U325" s="2">
        <f t="shared" ref="U325" si="825">0.098*J326*M326*0.5*R325</f>
        <v>0</v>
      </c>
      <c r="V325" s="10">
        <f t="shared" ref="V325" si="826">0.098*J326*M326*Q325</f>
        <v>0</v>
      </c>
      <c r="W325" s="2">
        <f t="shared" ref="W325" si="827">0.098*J326*M326*(S325-T325)</f>
        <v>0</v>
      </c>
      <c r="X325" s="84"/>
      <c r="Y325" s="82"/>
      <c r="Z325" s="125"/>
    </row>
    <row r="326" spans="1:26" x14ac:dyDescent="0.2">
      <c r="A326" s="101"/>
      <c r="B326" s="102"/>
      <c r="C326" s="102"/>
      <c r="D326" s="102"/>
      <c r="E326" s="102"/>
      <c r="F326" s="102"/>
      <c r="G326" s="102"/>
      <c r="H326" s="103"/>
      <c r="I326" s="75"/>
      <c r="J326" s="86">
        <f t="shared" ref="J326" si="828">(9*F322)/1000</f>
        <v>-0.79815599999999998</v>
      </c>
      <c r="K326" s="89"/>
      <c r="L326" s="92"/>
      <c r="M326" s="92"/>
      <c r="N326" s="114"/>
      <c r="O326" s="34"/>
      <c r="P326" s="34"/>
      <c r="Q326" s="2">
        <f t="shared" si="821"/>
        <v>9</v>
      </c>
      <c r="R326" s="2">
        <f t="shared" si="817"/>
        <v>-9</v>
      </c>
      <c r="S326" s="2"/>
      <c r="T326" s="2"/>
      <c r="U326" s="2">
        <f t="shared" ref="U326" si="829">0.098*J326*M326*0.5*R326</f>
        <v>0</v>
      </c>
      <c r="V326" s="10">
        <f t="shared" ref="V326" si="830">0.098*J326*M326*Q326</f>
        <v>0</v>
      </c>
      <c r="W326" s="2">
        <f t="shared" ref="W326" si="831">0.098*J326*M326*(S326-T326)</f>
        <v>0</v>
      </c>
      <c r="X326" s="84"/>
      <c r="Y326" s="82"/>
      <c r="Z326" s="101">
        <f t="shared" ref="Z326" si="832">_xlfn.STDEV.S(R323:R328)</f>
        <v>3.7416573867739413</v>
      </c>
    </row>
    <row r="327" spans="1:26" x14ac:dyDescent="0.2">
      <c r="A327" s="101"/>
      <c r="B327" s="102"/>
      <c r="C327" s="102"/>
      <c r="D327" s="102"/>
      <c r="E327" s="102"/>
      <c r="F327" s="102"/>
      <c r="G327" s="102"/>
      <c r="H327" s="103"/>
      <c r="I327" s="75"/>
      <c r="J327" s="87"/>
      <c r="K327" s="90"/>
      <c r="L327" s="93"/>
      <c r="M327" s="93"/>
      <c r="N327" s="114"/>
      <c r="O327" s="34"/>
      <c r="P327" s="34"/>
      <c r="Q327" s="2">
        <f t="shared" si="821"/>
        <v>7</v>
      </c>
      <c r="R327" s="2">
        <f t="shared" si="817"/>
        <v>-7</v>
      </c>
      <c r="S327" s="2"/>
      <c r="T327" s="2"/>
      <c r="U327" s="2">
        <f t="shared" ref="U327" si="833">0.098*J326*M326*0.5*R327</f>
        <v>0</v>
      </c>
      <c r="V327" s="10">
        <f t="shared" ref="V327" si="834">0.098*J326*M326*Q327</f>
        <v>0</v>
      </c>
      <c r="W327" s="2">
        <f t="shared" ref="W327" si="835">0.098*J326*M326*(S327-T327)</f>
        <v>0</v>
      </c>
      <c r="X327" s="84"/>
      <c r="Y327" s="82"/>
      <c r="Z327" s="101"/>
    </row>
    <row r="328" spans="1:26" ht="17" thickBot="1" x14ac:dyDescent="0.25">
      <c r="A328" s="104"/>
      <c r="B328" s="105"/>
      <c r="C328" s="105"/>
      <c r="D328" s="105"/>
      <c r="E328" s="105"/>
      <c r="F328" s="105"/>
      <c r="G328" s="105"/>
      <c r="H328" s="106"/>
      <c r="I328" s="117"/>
      <c r="J328" s="88"/>
      <c r="K328" s="91"/>
      <c r="L328" s="94"/>
      <c r="M328" s="94"/>
      <c r="N328" s="115"/>
      <c r="O328" s="35"/>
      <c r="P328" s="35"/>
      <c r="Q328" s="20">
        <f t="shared" si="821"/>
        <v>5</v>
      </c>
      <c r="R328" s="2">
        <f t="shared" si="817"/>
        <v>-5</v>
      </c>
      <c r="S328" s="20"/>
      <c r="T328" s="20"/>
      <c r="U328" s="20">
        <f t="shared" ref="U328" si="836">0.098*J326*M326*0.5*R328</f>
        <v>0</v>
      </c>
      <c r="V328" s="21">
        <f t="shared" ref="V328" si="837">0.098*J326*M326*Q328</f>
        <v>0</v>
      </c>
      <c r="W328" s="20">
        <f t="shared" ref="W328" si="838">0.098*J326*M326*(S328-T328)</f>
        <v>0</v>
      </c>
      <c r="X328" s="85"/>
      <c r="Y328" s="83"/>
      <c r="Z328" s="101"/>
    </row>
    <row r="329" spans="1:26" x14ac:dyDescent="0.2">
      <c r="A329" s="107" t="s">
        <v>8</v>
      </c>
      <c r="B329" s="110" t="s">
        <v>3</v>
      </c>
      <c r="C329" s="110" t="s">
        <v>7</v>
      </c>
      <c r="D329" s="110" t="s">
        <v>9</v>
      </c>
      <c r="E329" s="71" t="s">
        <v>11</v>
      </c>
      <c r="F329" s="71" t="s">
        <v>10</v>
      </c>
      <c r="G329" s="71" t="s">
        <v>12</v>
      </c>
      <c r="H329" s="71" t="s">
        <v>32</v>
      </c>
      <c r="I329" s="74" t="s">
        <v>14</v>
      </c>
      <c r="J329" s="67" t="s">
        <v>31</v>
      </c>
      <c r="K329" s="67" t="s">
        <v>33</v>
      </c>
      <c r="L329" s="67" t="s">
        <v>17</v>
      </c>
      <c r="M329" s="67" t="s">
        <v>0</v>
      </c>
      <c r="N329" s="113" t="s">
        <v>16</v>
      </c>
      <c r="O329" s="4" t="s">
        <v>6</v>
      </c>
      <c r="P329" s="4" t="s">
        <v>34</v>
      </c>
      <c r="Q329" s="17" t="s">
        <v>2</v>
      </c>
      <c r="R329" s="17" t="s">
        <v>1</v>
      </c>
      <c r="S329" s="17" t="s">
        <v>25</v>
      </c>
      <c r="T329" s="17" t="s">
        <v>26</v>
      </c>
      <c r="U329" s="18" t="s">
        <v>20</v>
      </c>
      <c r="V329" s="18" t="s">
        <v>22</v>
      </c>
      <c r="W329" s="18" t="s">
        <v>24</v>
      </c>
      <c r="X329" s="77" t="s">
        <v>19</v>
      </c>
      <c r="Y329" s="79" t="s">
        <v>23</v>
      </c>
      <c r="Z329" s="125" t="s">
        <v>39</v>
      </c>
    </row>
    <row r="330" spans="1:26" x14ac:dyDescent="0.2">
      <c r="A330" s="108"/>
      <c r="B330" s="111"/>
      <c r="C330" s="111"/>
      <c r="D330" s="111"/>
      <c r="E330" s="72"/>
      <c r="F330" s="72"/>
      <c r="G330" s="72"/>
      <c r="H330" s="72"/>
      <c r="I330" s="75"/>
      <c r="J330" s="68"/>
      <c r="K330" s="68"/>
      <c r="L330" s="68"/>
      <c r="M330" s="68"/>
      <c r="N330" s="114"/>
      <c r="O330" s="34"/>
      <c r="P330" s="34"/>
      <c r="Q330" s="2">
        <v>15</v>
      </c>
      <c r="R330" s="2">
        <f t="shared" ref="R330:R335" si="839">T330-Q330</f>
        <v>-15</v>
      </c>
      <c r="S330" s="2"/>
      <c r="T330" s="2"/>
      <c r="U330" s="9">
        <f t="shared" ref="U330" si="840">0.098*J333*M333*0.5*R330</f>
        <v>0</v>
      </c>
      <c r="V330" s="9">
        <f t="shared" ref="V330" si="841">0.098*J333*M333*Q330</f>
        <v>0</v>
      </c>
      <c r="W330" s="8">
        <f t="shared" ref="W330" si="842">0.098*J333*M333*(S330-T330)</f>
        <v>0</v>
      </c>
      <c r="X330" s="78"/>
      <c r="Y330" s="80"/>
      <c r="Z330" s="125"/>
    </row>
    <row r="331" spans="1:26" x14ac:dyDescent="0.2">
      <c r="A331" s="108"/>
      <c r="B331" s="111"/>
      <c r="C331" s="111"/>
      <c r="D331" s="111"/>
      <c r="E331" s="72"/>
      <c r="F331" s="72"/>
      <c r="G331" s="72"/>
      <c r="H331" s="72"/>
      <c r="I331" s="75"/>
      <c r="J331" s="68"/>
      <c r="K331" s="68"/>
      <c r="L331" s="68"/>
      <c r="M331" s="68"/>
      <c r="N331" s="114"/>
      <c r="O331" s="34"/>
      <c r="P331" s="34"/>
      <c r="Q331" s="2">
        <f t="shared" ref="Q331:Q335" si="843">Q330-2</f>
        <v>13</v>
      </c>
      <c r="R331" s="2">
        <f t="shared" si="839"/>
        <v>-13</v>
      </c>
      <c r="S331" s="2"/>
      <c r="T331" s="2"/>
      <c r="U331" s="9">
        <f t="shared" ref="U331" si="844">0.098*J333*M333*0.5*R331</f>
        <v>0</v>
      </c>
      <c r="V331" s="9">
        <f t="shared" ref="V331" si="845">0.098*J333*M333*Q331</f>
        <v>0</v>
      </c>
      <c r="W331" s="8">
        <f t="shared" ref="W331" si="846">0.098*J333*M333*(S331-T331)</f>
        <v>0</v>
      </c>
      <c r="X331" s="23"/>
      <c r="Y331" s="81"/>
      <c r="Z331" s="125"/>
    </row>
    <row r="332" spans="1:26" x14ac:dyDescent="0.2">
      <c r="A332" s="108"/>
      <c r="B332" s="111"/>
      <c r="C332" s="111"/>
      <c r="D332" s="111"/>
      <c r="E332" s="72"/>
      <c r="F332" s="72"/>
      <c r="G332" s="72"/>
      <c r="H332" s="72"/>
      <c r="I332" s="75"/>
      <c r="J332" s="69"/>
      <c r="K332" s="69"/>
      <c r="L332" s="69"/>
      <c r="M332" s="69"/>
      <c r="N332" s="114"/>
      <c r="O332" s="34"/>
      <c r="P332" s="34"/>
      <c r="Q332" s="2">
        <f t="shared" si="843"/>
        <v>11</v>
      </c>
      <c r="R332" s="2">
        <f t="shared" si="839"/>
        <v>-11</v>
      </c>
      <c r="S332" s="2"/>
      <c r="T332" s="2"/>
      <c r="U332" s="9">
        <f t="shared" ref="U332" si="847">0.098*J333*M333*0.5*R332</f>
        <v>0</v>
      </c>
      <c r="V332" s="9">
        <f t="shared" ref="V332" si="848">0.098*J333*M333*Q332</f>
        <v>0</v>
      </c>
      <c r="W332" s="8">
        <f t="shared" ref="W332" si="849">0.098*J333*M333*(S332-T332)</f>
        <v>0</v>
      </c>
      <c r="X332" s="84"/>
      <c r="Y332" s="82"/>
      <c r="Z332" s="125"/>
    </row>
    <row r="333" spans="1:26" x14ac:dyDescent="0.2">
      <c r="A333" s="108"/>
      <c r="B333" s="111"/>
      <c r="C333" s="111"/>
      <c r="D333" s="111"/>
      <c r="E333" s="72"/>
      <c r="F333" s="72"/>
      <c r="G333" s="72"/>
      <c r="H333" s="72"/>
      <c r="I333" s="75"/>
      <c r="J333" s="86">
        <f t="shared" ref="J333" si="850">(7*F336)/1000</f>
        <v>-0.62078800000000001</v>
      </c>
      <c r="K333" s="89"/>
      <c r="L333" s="92"/>
      <c r="M333" s="92"/>
      <c r="N333" s="114"/>
      <c r="O333" s="34"/>
      <c r="P333" s="34"/>
      <c r="Q333" s="2">
        <f t="shared" si="843"/>
        <v>9</v>
      </c>
      <c r="R333" s="2">
        <f t="shared" si="839"/>
        <v>-9</v>
      </c>
      <c r="S333" s="2"/>
      <c r="T333" s="2"/>
      <c r="U333" s="9">
        <f t="shared" ref="U333" si="851">0.098*J333*M333*0.5*R333</f>
        <v>0</v>
      </c>
      <c r="V333" s="9">
        <f t="shared" ref="V333" si="852">0.098*J333*M333*Q333</f>
        <v>0</v>
      </c>
      <c r="W333" s="8">
        <f t="shared" ref="W333" si="853">0.098*J333*M333*(S333-T333)</f>
        <v>0</v>
      </c>
      <c r="X333" s="84"/>
      <c r="Y333" s="82"/>
      <c r="Z333" s="101">
        <f t="shared" ref="Z333" si="854">_xlfn.STDEV.S(R330:R335)</f>
        <v>3.7416573867739413</v>
      </c>
    </row>
    <row r="334" spans="1:26" x14ac:dyDescent="0.2">
      <c r="A334" s="108"/>
      <c r="B334" s="111"/>
      <c r="C334" s="111"/>
      <c r="D334" s="111"/>
      <c r="E334" s="72"/>
      <c r="F334" s="72"/>
      <c r="G334" s="72"/>
      <c r="H334" s="72"/>
      <c r="I334" s="75"/>
      <c r="J334" s="87"/>
      <c r="K334" s="90"/>
      <c r="L334" s="93"/>
      <c r="M334" s="93"/>
      <c r="N334" s="114"/>
      <c r="O334" s="34"/>
      <c r="P334" s="34"/>
      <c r="Q334" s="2">
        <f t="shared" si="843"/>
        <v>7</v>
      </c>
      <c r="R334" s="2">
        <f t="shared" si="839"/>
        <v>-7</v>
      </c>
      <c r="S334" s="2"/>
      <c r="T334" s="2"/>
      <c r="U334" s="9">
        <f t="shared" ref="U334" si="855">0.098*J333*M333*0.5*R334</f>
        <v>0</v>
      </c>
      <c r="V334" s="9">
        <f t="shared" ref="V334" si="856">0.098*J333*M333*Q334</f>
        <v>0</v>
      </c>
      <c r="W334" s="8">
        <f t="shared" ref="W334" si="857">0.098*J333*M333*(S334-T334)</f>
        <v>0</v>
      </c>
      <c r="X334" s="84"/>
      <c r="Y334" s="82"/>
      <c r="Z334" s="101"/>
    </row>
    <row r="335" spans="1:26" ht="17" thickBot="1" x14ac:dyDescent="0.25">
      <c r="A335" s="109"/>
      <c r="B335" s="112"/>
      <c r="C335" s="112"/>
      <c r="D335" s="112"/>
      <c r="E335" s="73"/>
      <c r="F335" s="73"/>
      <c r="G335" s="73"/>
      <c r="H335" s="73"/>
      <c r="I335" s="76"/>
      <c r="J335" s="97"/>
      <c r="K335" s="96"/>
      <c r="L335" s="95"/>
      <c r="M335" s="95"/>
      <c r="N335" s="114"/>
      <c r="O335" s="34"/>
      <c r="P335" s="34"/>
      <c r="Q335" s="2">
        <f t="shared" si="843"/>
        <v>5</v>
      </c>
      <c r="R335" s="2">
        <f t="shared" si="839"/>
        <v>-5</v>
      </c>
      <c r="S335" s="2"/>
      <c r="T335" s="2"/>
      <c r="U335" s="9">
        <f t="shared" ref="U335" si="858">0.098*J333*M333*0.5*R335</f>
        <v>0</v>
      </c>
      <c r="V335" s="9">
        <f t="shared" ref="V335" si="859">0.098*J333*M333*Q335</f>
        <v>0</v>
      </c>
      <c r="W335" s="8">
        <f t="shared" ref="W335" si="860">0.098*J333*M333*(S335-T335)</f>
        <v>0</v>
      </c>
      <c r="X335" s="84"/>
      <c r="Y335" s="82"/>
      <c r="Z335" s="101"/>
    </row>
    <row r="336" spans="1:26" x14ac:dyDescent="0.2">
      <c r="A336" s="19">
        <f t="shared" si="728"/>
        <v>23</v>
      </c>
      <c r="B336" s="3" t="s">
        <v>5</v>
      </c>
      <c r="C336" s="3"/>
      <c r="D336" s="3"/>
      <c r="E336" s="3"/>
      <c r="F336" s="3">
        <f t="shared" ref="F336" si="861">IF(B336="M", 50 + 0.91*(D336-152.4), IF(B336="F", 45.5 + 0.91*(D336-152.4), ""))</f>
        <v>-88.683999999999997</v>
      </c>
      <c r="G336" s="3"/>
      <c r="H336" s="3" t="e">
        <f t="shared" ref="H336" si="862">E336/(D336*10^-2)^2</f>
        <v>#DIV/0!</v>
      </c>
      <c r="I336" s="116" t="s">
        <v>15</v>
      </c>
      <c r="J336" s="70" t="s">
        <v>31</v>
      </c>
      <c r="K336" s="70" t="s">
        <v>33</v>
      </c>
      <c r="L336" s="70" t="s">
        <v>17</v>
      </c>
      <c r="M336" s="70" t="s">
        <v>0</v>
      </c>
      <c r="N336" s="114"/>
      <c r="O336" s="4" t="s">
        <v>6</v>
      </c>
      <c r="P336" s="4" t="s">
        <v>34</v>
      </c>
      <c r="Q336" s="6" t="s">
        <v>2</v>
      </c>
      <c r="R336" s="17" t="s">
        <v>1</v>
      </c>
      <c r="S336" s="17" t="s">
        <v>25</v>
      </c>
      <c r="T336" s="17" t="s">
        <v>26</v>
      </c>
      <c r="U336" s="7" t="s">
        <v>21</v>
      </c>
      <c r="V336" s="7" t="s">
        <v>22</v>
      </c>
      <c r="W336" s="7" t="s">
        <v>24</v>
      </c>
      <c r="X336" s="84"/>
      <c r="Y336" s="82"/>
      <c r="Z336" s="125" t="s">
        <v>39</v>
      </c>
    </row>
    <row r="337" spans="1:26" x14ac:dyDescent="0.2">
      <c r="A337" s="98"/>
      <c r="B337" s="99"/>
      <c r="C337" s="99"/>
      <c r="D337" s="99"/>
      <c r="E337" s="99"/>
      <c r="F337" s="99"/>
      <c r="G337" s="99"/>
      <c r="H337" s="100"/>
      <c r="I337" s="75"/>
      <c r="J337" s="68"/>
      <c r="K337" s="68"/>
      <c r="L337" s="68"/>
      <c r="M337" s="68"/>
      <c r="N337" s="114"/>
      <c r="O337" s="34"/>
      <c r="P337" s="34"/>
      <c r="Q337" s="2">
        <v>15</v>
      </c>
      <c r="R337" s="2">
        <f t="shared" ref="R337:R342" si="863">T337-Q337</f>
        <v>-15</v>
      </c>
      <c r="S337" s="2"/>
      <c r="T337" s="2"/>
      <c r="U337" s="2">
        <f t="shared" ref="U337" si="864">0.098*J340*M340*0.5*R337</f>
        <v>0</v>
      </c>
      <c r="V337" s="10">
        <f t="shared" ref="V337" si="865">0.098*J340*M340*Q337</f>
        <v>0</v>
      </c>
      <c r="W337" s="2">
        <f t="shared" ref="W337" si="866">0.098*J340*M340*(S337-T337)</f>
        <v>0</v>
      </c>
      <c r="X337" s="84"/>
      <c r="Y337" s="82"/>
      <c r="Z337" s="125"/>
    </row>
    <row r="338" spans="1:26" x14ac:dyDescent="0.2">
      <c r="A338" s="101"/>
      <c r="B338" s="102"/>
      <c r="C338" s="102"/>
      <c r="D338" s="102"/>
      <c r="E338" s="102"/>
      <c r="F338" s="102"/>
      <c r="G338" s="102"/>
      <c r="H338" s="103"/>
      <c r="I338" s="75"/>
      <c r="J338" s="68"/>
      <c r="K338" s="68"/>
      <c r="L338" s="68"/>
      <c r="M338" s="68"/>
      <c r="N338" s="114"/>
      <c r="O338" s="34"/>
      <c r="P338" s="34"/>
      <c r="Q338" s="2">
        <f t="shared" ref="Q338:Q342" si="867">Q337-2</f>
        <v>13</v>
      </c>
      <c r="R338" s="2">
        <f t="shared" si="863"/>
        <v>-13</v>
      </c>
      <c r="S338" s="2"/>
      <c r="T338" s="2"/>
      <c r="U338" s="2">
        <f t="shared" ref="U338" si="868">0.098*J340*M340*0.5*R338</f>
        <v>0</v>
      </c>
      <c r="V338" s="10">
        <f t="shared" ref="V338" si="869">0.098*J340*M340*Q338</f>
        <v>0</v>
      </c>
      <c r="W338" s="2">
        <f t="shared" ref="W338" si="870">0.098*J340*M340*(S338-T338)</f>
        <v>0</v>
      </c>
      <c r="X338" s="84"/>
      <c r="Y338" s="82"/>
      <c r="Z338" s="125"/>
    </row>
    <row r="339" spans="1:26" x14ac:dyDescent="0.2">
      <c r="A339" s="101"/>
      <c r="B339" s="102"/>
      <c r="C339" s="102"/>
      <c r="D339" s="102"/>
      <c r="E339" s="102"/>
      <c r="F339" s="102"/>
      <c r="G339" s="102"/>
      <c r="H339" s="103"/>
      <c r="I339" s="75"/>
      <c r="J339" s="69"/>
      <c r="K339" s="69"/>
      <c r="L339" s="69"/>
      <c r="M339" s="69"/>
      <c r="N339" s="114"/>
      <c r="O339" s="34"/>
      <c r="P339" s="34"/>
      <c r="Q339" s="2">
        <f t="shared" si="867"/>
        <v>11</v>
      </c>
      <c r="R339" s="2">
        <f t="shared" si="863"/>
        <v>-11</v>
      </c>
      <c r="S339" s="2"/>
      <c r="T339" s="2"/>
      <c r="U339" s="2">
        <f t="shared" ref="U339" si="871">0.098*J340*M340*0.5*R339</f>
        <v>0</v>
      </c>
      <c r="V339" s="10">
        <f t="shared" ref="V339" si="872">0.098*J340*M340*Q339</f>
        <v>0</v>
      </c>
      <c r="W339" s="2">
        <f t="shared" ref="W339" si="873">0.098*J340*M340*(S339-T339)</f>
        <v>0</v>
      </c>
      <c r="X339" s="84"/>
      <c r="Y339" s="82"/>
      <c r="Z339" s="125"/>
    </row>
    <row r="340" spans="1:26" x14ac:dyDescent="0.2">
      <c r="A340" s="101"/>
      <c r="B340" s="102"/>
      <c r="C340" s="102"/>
      <c r="D340" s="102"/>
      <c r="E340" s="102"/>
      <c r="F340" s="102"/>
      <c r="G340" s="102"/>
      <c r="H340" s="103"/>
      <c r="I340" s="75"/>
      <c r="J340" s="86">
        <f t="shared" ref="J340" si="874">(9*F336)/1000</f>
        <v>-0.79815599999999998</v>
      </c>
      <c r="K340" s="89"/>
      <c r="L340" s="92"/>
      <c r="M340" s="92"/>
      <c r="N340" s="114"/>
      <c r="O340" s="34"/>
      <c r="P340" s="34"/>
      <c r="Q340" s="2">
        <f t="shared" si="867"/>
        <v>9</v>
      </c>
      <c r="R340" s="2">
        <f t="shared" si="863"/>
        <v>-9</v>
      </c>
      <c r="S340" s="2"/>
      <c r="T340" s="2"/>
      <c r="U340" s="2">
        <f t="shared" ref="U340" si="875">0.098*J340*M340*0.5*R340</f>
        <v>0</v>
      </c>
      <c r="V340" s="10">
        <f t="shared" ref="V340" si="876">0.098*J340*M340*Q340</f>
        <v>0</v>
      </c>
      <c r="W340" s="2">
        <f t="shared" ref="W340" si="877">0.098*J340*M340*(S340-T340)</f>
        <v>0</v>
      </c>
      <c r="X340" s="84"/>
      <c r="Y340" s="82"/>
      <c r="Z340" s="101">
        <f t="shared" ref="Z340" si="878">_xlfn.STDEV.S(R337:R342)</f>
        <v>3.7416573867739413</v>
      </c>
    </row>
    <row r="341" spans="1:26" x14ac:dyDescent="0.2">
      <c r="A341" s="101"/>
      <c r="B341" s="102"/>
      <c r="C341" s="102"/>
      <c r="D341" s="102"/>
      <c r="E341" s="102"/>
      <c r="F341" s="102"/>
      <c r="G341" s="102"/>
      <c r="H341" s="103"/>
      <c r="I341" s="75"/>
      <c r="J341" s="87"/>
      <c r="K341" s="90"/>
      <c r="L341" s="93"/>
      <c r="M341" s="93"/>
      <c r="N341" s="114"/>
      <c r="O341" s="34"/>
      <c r="P341" s="34"/>
      <c r="Q341" s="2">
        <f t="shared" si="867"/>
        <v>7</v>
      </c>
      <c r="R341" s="2">
        <f t="shared" si="863"/>
        <v>-7</v>
      </c>
      <c r="S341" s="2"/>
      <c r="T341" s="2"/>
      <c r="U341" s="2">
        <f t="shared" ref="U341" si="879">0.098*J340*M340*0.5*R341</f>
        <v>0</v>
      </c>
      <c r="V341" s="10">
        <f t="shared" ref="V341" si="880">0.098*J340*M340*Q341</f>
        <v>0</v>
      </c>
      <c r="W341" s="2">
        <f t="shared" ref="W341" si="881">0.098*J340*M340*(S341-T341)</f>
        <v>0</v>
      </c>
      <c r="X341" s="84"/>
      <c r="Y341" s="82"/>
      <c r="Z341" s="101"/>
    </row>
    <row r="342" spans="1:26" ht="17" thickBot="1" x14ac:dyDescent="0.25">
      <c r="A342" s="104"/>
      <c r="B342" s="105"/>
      <c r="C342" s="105"/>
      <c r="D342" s="105"/>
      <c r="E342" s="105"/>
      <c r="F342" s="105"/>
      <c r="G342" s="105"/>
      <c r="H342" s="106"/>
      <c r="I342" s="117"/>
      <c r="J342" s="88"/>
      <c r="K342" s="91"/>
      <c r="L342" s="94"/>
      <c r="M342" s="94"/>
      <c r="N342" s="115"/>
      <c r="O342" s="35"/>
      <c r="P342" s="35"/>
      <c r="Q342" s="20">
        <f t="shared" si="867"/>
        <v>5</v>
      </c>
      <c r="R342" s="2">
        <f t="shared" si="863"/>
        <v>-5</v>
      </c>
      <c r="S342" s="20"/>
      <c r="T342" s="20"/>
      <c r="U342" s="20">
        <f t="shared" ref="U342" si="882">0.098*J340*M340*0.5*R342</f>
        <v>0</v>
      </c>
      <c r="V342" s="21">
        <f t="shared" ref="V342" si="883">0.098*J340*M340*Q342</f>
        <v>0</v>
      </c>
      <c r="W342" s="20">
        <f t="shared" ref="W342" si="884">0.098*J340*M340*(S342-T342)</f>
        <v>0</v>
      </c>
      <c r="X342" s="85"/>
      <c r="Y342" s="83"/>
      <c r="Z342" s="101"/>
    </row>
    <row r="343" spans="1:26" x14ac:dyDescent="0.2">
      <c r="A343" s="107" t="s">
        <v>8</v>
      </c>
      <c r="B343" s="110" t="s">
        <v>3</v>
      </c>
      <c r="C343" s="110" t="s">
        <v>7</v>
      </c>
      <c r="D343" s="110" t="s">
        <v>9</v>
      </c>
      <c r="E343" s="71" t="s">
        <v>11</v>
      </c>
      <c r="F343" s="71" t="s">
        <v>10</v>
      </c>
      <c r="G343" s="71" t="s">
        <v>12</v>
      </c>
      <c r="H343" s="71" t="s">
        <v>32</v>
      </c>
      <c r="I343" s="74" t="s">
        <v>14</v>
      </c>
      <c r="J343" s="67" t="s">
        <v>31</v>
      </c>
      <c r="K343" s="67" t="s">
        <v>33</v>
      </c>
      <c r="L343" s="67" t="s">
        <v>17</v>
      </c>
      <c r="M343" s="67" t="s">
        <v>0</v>
      </c>
      <c r="N343" s="113" t="s">
        <v>16</v>
      </c>
      <c r="O343" s="4" t="s">
        <v>6</v>
      </c>
      <c r="P343" s="4" t="s">
        <v>34</v>
      </c>
      <c r="Q343" s="17" t="s">
        <v>2</v>
      </c>
      <c r="R343" s="17" t="s">
        <v>1</v>
      </c>
      <c r="S343" s="17" t="s">
        <v>25</v>
      </c>
      <c r="T343" s="17" t="s">
        <v>26</v>
      </c>
      <c r="U343" s="18" t="s">
        <v>20</v>
      </c>
      <c r="V343" s="18" t="s">
        <v>22</v>
      </c>
      <c r="W343" s="18" t="s">
        <v>24</v>
      </c>
      <c r="X343" s="77" t="s">
        <v>19</v>
      </c>
      <c r="Y343" s="79" t="s">
        <v>23</v>
      </c>
      <c r="Z343" s="125" t="s">
        <v>39</v>
      </c>
    </row>
    <row r="344" spans="1:26" x14ac:dyDescent="0.2">
      <c r="A344" s="108"/>
      <c r="B344" s="111"/>
      <c r="C344" s="111"/>
      <c r="D344" s="111"/>
      <c r="E344" s="72"/>
      <c r="F344" s="72"/>
      <c r="G344" s="72"/>
      <c r="H344" s="72"/>
      <c r="I344" s="75"/>
      <c r="J344" s="68"/>
      <c r="K344" s="68"/>
      <c r="L344" s="68"/>
      <c r="M344" s="68"/>
      <c r="N344" s="114"/>
      <c r="O344" s="34"/>
      <c r="P344" s="34"/>
      <c r="Q344" s="2">
        <v>15</v>
      </c>
      <c r="R344" s="2">
        <f t="shared" ref="R344:R349" si="885">T344-Q344</f>
        <v>-15</v>
      </c>
      <c r="S344" s="2"/>
      <c r="T344" s="2"/>
      <c r="U344" s="9">
        <f t="shared" ref="U344" si="886">0.098*J347*M347*0.5*R344</f>
        <v>0</v>
      </c>
      <c r="V344" s="9">
        <f t="shared" ref="V344" si="887">0.098*J347*M347*Q344</f>
        <v>0</v>
      </c>
      <c r="W344" s="8">
        <f t="shared" ref="W344" si="888">0.098*J347*M347*(S344-T344)</f>
        <v>0</v>
      </c>
      <c r="X344" s="78"/>
      <c r="Y344" s="80"/>
      <c r="Z344" s="125"/>
    </row>
    <row r="345" spans="1:26" x14ac:dyDescent="0.2">
      <c r="A345" s="108"/>
      <c r="B345" s="111"/>
      <c r="C345" s="111"/>
      <c r="D345" s="111"/>
      <c r="E345" s="72"/>
      <c r="F345" s="72"/>
      <c r="G345" s="72"/>
      <c r="H345" s="72"/>
      <c r="I345" s="75"/>
      <c r="J345" s="68"/>
      <c r="K345" s="68"/>
      <c r="L345" s="68"/>
      <c r="M345" s="68"/>
      <c r="N345" s="114"/>
      <c r="O345" s="34"/>
      <c r="P345" s="34"/>
      <c r="Q345" s="2">
        <f t="shared" ref="Q345:Q349" si="889">Q344-2</f>
        <v>13</v>
      </c>
      <c r="R345" s="2">
        <f t="shared" si="885"/>
        <v>-13</v>
      </c>
      <c r="S345" s="2"/>
      <c r="T345" s="2"/>
      <c r="U345" s="9">
        <f t="shared" ref="U345" si="890">0.098*J347*M347*0.5*R345</f>
        <v>0</v>
      </c>
      <c r="V345" s="9">
        <f t="shared" ref="V345" si="891">0.098*J347*M347*Q345</f>
        <v>0</v>
      </c>
      <c r="W345" s="8">
        <f t="shared" ref="W345" si="892">0.098*J347*M347*(S345-T345)</f>
        <v>0</v>
      </c>
      <c r="X345" s="23"/>
      <c r="Y345" s="81"/>
      <c r="Z345" s="125"/>
    </row>
    <row r="346" spans="1:26" x14ac:dyDescent="0.2">
      <c r="A346" s="108"/>
      <c r="B346" s="111"/>
      <c r="C346" s="111"/>
      <c r="D346" s="111"/>
      <c r="E346" s="72"/>
      <c r="F346" s="72"/>
      <c r="G346" s="72"/>
      <c r="H346" s="72"/>
      <c r="I346" s="75"/>
      <c r="J346" s="69"/>
      <c r="K346" s="69"/>
      <c r="L346" s="69"/>
      <c r="M346" s="69"/>
      <c r="N346" s="114"/>
      <c r="O346" s="34"/>
      <c r="P346" s="34"/>
      <c r="Q346" s="2">
        <f t="shared" si="889"/>
        <v>11</v>
      </c>
      <c r="R346" s="2">
        <f t="shared" si="885"/>
        <v>-11</v>
      </c>
      <c r="S346" s="2"/>
      <c r="T346" s="2"/>
      <c r="U346" s="9">
        <f t="shared" ref="U346" si="893">0.098*J347*M347*0.5*R346</f>
        <v>0</v>
      </c>
      <c r="V346" s="9">
        <f t="shared" ref="V346" si="894">0.098*J347*M347*Q346</f>
        <v>0</v>
      </c>
      <c r="W346" s="8">
        <f t="shared" ref="W346" si="895">0.098*J347*M347*(S346-T346)</f>
        <v>0</v>
      </c>
      <c r="X346" s="84"/>
      <c r="Y346" s="82"/>
      <c r="Z346" s="125"/>
    </row>
    <row r="347" spans="1:26" x14ac:dyDescent="0.2">
      <c r="A347" s="108"/>
      <c r="B347" s="111"/>
      <c r="C347" s="111"/>
      <c r="D347" s="111"/>
      <c r="E347" s="72"/>
      <c r="F347" s="72"/>
      <c r="G347" s="72"/>
      <c r="H347" s="72"/>
      <c r="I347" s="75"/>
      <c r="J347" s="86">
        <f t="shared" ref="J347" si="896">(7*F350)/1000</f>
        <v>-0.62078800000000001</v>
      </c>
      <c r="K347" s="89"/>
      <c r="L347" s="92"/>
      <c r="M347" s="92"/>
      <c r="N347" s="114"/>
      <c r="O347" s="34"/>
      <c r="P347" s="34"/>
      <c r="Q347" s="2">
        <f t="shared" si="889"/>
        <v>9</v>
      </c>
      <c r="R347" s="2">
        <f t="shared" si="885"/>
        <v>-9</v>
      </c>
      <c r="S347" s="2"/>
      <c r="T347" s="2"/>
      <c r="U347" s="9">
        <f t="shared" ref="U347" si="897">0.098*J347*M347*0.5*R347</f>
        <v>0</v>
      </c>
      <c r="V347" s="9">
        <f t="shared" ref="V347" si="898">0.098*J347*M347*Q347</f>
        <v>0</v>
      </c>
      <c r="W347" s="8">
        <f t="shared" ref="W347" si="899">0.098*J347*M347*(S347-T347)</f>
        <v>0</v>
      </c>
      <c r="X347" s="84"/>
      <c r="Y347" s="82"/>
      <c r="Z347" s="101">
        <f t="shared" ref="Z347" si="900">_xlfn.STDEV.S(R344:R349)</f>
        <v>3.7416573867739413</v>
      </c>
    </row>
    <row r="348" spans="1:26" x14ac:dyDescent="0.2">
      <c r="A348" s="108"/>
      <c r="B348" s="111"/>
      <c r="C348" s="111"/>
      <c r="D348" s="111"/>
      <c r="E348" s="72"/>
      <c r="F348" s="72"/>
      <c r="G348" s="72"/>
      <c r="H348" s="72"/>
      <c r="I348" s="75"/>
      <c r="J348" s="87"/>
      <c r="K348" s="90"/>
      <c r="L348" s="93"/>
      <c r="M348" s="93"/>
      <c r="N348" s="114"/>
      <c r="O348" s="34"/>
      <c r="P348" s="34"/>
      <c r="Q348" s="2">
        <f t="shared" si="889"/>
        <v>7</v>
      </c>
      <c r="R348" s="2">
        <f t="shared" si="885"/>
        <v>-7</v>
      </c>
      <c r="S348" s="2"/>
      <c r="T348" s="2"/>
      <c r="U348" s="9">
        <f t="shared" ref="U348" si="901">0.098*J347*M347*0.5*R348</f>
        <v>0</v>
      </c>
      <c r="V348" s="9">
        <f t="shared" ref="V348" si="902">0.098*J347*M347*Q348</f>
        <v>0</v>
      </c>
      <c r="W348" s="8">
        <f t="shared" ref="W348" si="903">0.098*J347*M347*(S348-T348)</f>
        <v>0</v>
      </c>
      <c r="X348" s="84"/>
      <c r="Y348" s="82"/>
      <c r="Z348" s="101"/>
    </row>
    <row r="349" spans="1:26" ht="17" thickBot="1" x14ac:dyDescent="0.25">
      <c r="A349" s="109"/>
      <c r="B349" s="112"/>
      <c r="C349" s="112"/>
      <c r="D349" s="112"/>
      <c r="E349" s="73"/>
      <c r="F349" s="73"/>
      <c r="G349" s="73"/>
      <c r="H349" s="73"/>
      <c r="I349" s="76"/>
      <c r="J349" s="97"/>
      <c r="K349" s="96"/>
      <c r="L349" s="95"/>
      <c r="M349" s="95"/>
      <c r="N349" s="114"/>
      <c r="O349" s="34"/>
      <c r="P349" s="34"/>
      <c r="Q349" s="2">
        <f t="shared" si="889"/>
        <v>5</v>
      </c>
      <c r="R349" s="2">
        <f t="shared" si="885"/>
        <v>-5</v>
      </c>
      <c r="S349" s="2"/>
      <c r="T349" s="2"/>
      <c r="U349" s="9">
        <f t="shared" ref="U349" si="904">0.098*J347*M347*0.5*R349</f>
        <v>0</v>
      </c>
      <c r="V349" s="9">
        <f t="shared" ref="V349" si="905">0.098*J347*M347*Q349</f>
        <v>0</v>
      </c>
      <c r="W349" s="8">
        <f t="shared" ref="W349" si="906">0.098*J347*M347*(S349-T349)</f>
        <v>0</v>
      </c>
      <c r="X349" s="84"/>
      <c r="Y349" s="82"/>
      <c r="Z349" s="101"/>
    </row>
    <row r="350" spans="1:26" x14ac:dyDescent="0.2">
      <c r="A350" s="19">
        <f t="shared" si="728"/>
        <v>24</v>
      </c>
      <c r="B350" s="3" t="s">
        <v>5</v>
      </c>
      <c r="C350" s="3"/>
      <c r="D350" s="3"/>
      <c r="E350" s="3"/>
      <c r="F350" s="3">
        <f t="shared" ref="F350" si="907">IF(B350="M", 50 + 0.91*(D350-152.4), IF(B350="F", 45.5 + 0.91*(D350-152.4), ""))</f>
        <v>-88.683999999999997</v>
      </c>
      <c r="G350" s="3"/>
      <c r="H350" s="3" t="e">
        <f t="shared" ref="H350" si="908">E350/(D350*10^-2)^2</f>
        <v>#DIV/0!</v>
      </c>
      <c r="I350" s="116" t="s">
        <v>15</v>
      </c>
      <c r="J350" s="70" t="s">
        <v>31</v>
      </c>
      <c r="K350" s="70" t="s">
        <v>33</v>
      </c>
      <c r="L350" s="70" t="s">
        <v>17</v>
      </c>
      <c r="M350" s="70" t="s">
        <v>0</v>
      </c>
      <c r="N350" s="114"/>
      <c r="O350" s="4" t="s">
        <v>6</v>
      </c>
      <c r="P350" s="4" t="s">
        <v>34</v>
      </c>
      <c r="Q350" s="6" t="s">
        <v>2</v>
      </c>
      <c r="R350" s="17" t="s">
        <v>1</v>
      </c>
      <c r="S350" s="17" t="s">
        <v>25</v>
      </c>
      <c r="T350" s="17" t="s">
        <v>26</v>
      </c>
      <c r="U350" s="7" t="s">
        <v>21</v>
      </c>
      <c r="V350" s="7" t="s">
        <v>22</v>
      </c>
      <c r="W350" s="7" t="s">
        <v>24</v>
      </c>
      <c r="X350" s="84"/>
      <c r="Y350" s="82"/>
      <c r="Z350" s="125" t="s">
        <v>39</v>
      </c>
    </row>
    <row r="351" spans="1:26" x14ac:dyDescent="0.2">
      <c r="A351" s="98"/>
      <c r="B351" s="99"/>
      <c r="C351" s="99"/>
      <c r="D351" s="99"/>
      <c r="E351" s="99"/>
      <c r="F351" s="99"/>
      <c r="G351" s="99"/>
      <c r="H351" s="100"/>
      <c r="I351" s="75"/>
      <c r="J351" s="68"/>
      <c r="K351" s="68"/>
      <c r="L351" s="68"/>
      <c r="M351" s="68"/>
      <c r="N351" s="114"/>
      <c r="O351" s="34"/>
      <c r="P351" s="34"/>
      <c r="Q351" s="2">
        <v>15</v>
      </c>
      <c r="R351" s="2">
        <f t="shared" ref="R351:R356" si="909">T351-Q351</f>
        <v>-15</v>
      </c>
      <c r="S351" s="2"/>
      <c r="T351" s="2"/>
      <c r="U351" s="2">
        <f t="shared" ref="U351" si="910">0.098*J354*M354*0.5*R351</f>
        <v>0</v>
      </c>
      <c r="V351" s="10">
        <f t="shared" ref="V351" si="911">0.098*J354*M354*Q351</f>
        <v>0</v>
      </c>
      <c r="W351" s="2">
        <f t="shared" ref="W351" si="912">0.098*J354*M354*(S351-T351)</f>
        <v>0</v>
      </c>
      <c r="X351" s="84"/>
      <c r="Y351" s="82"/>
      <c r="Z351" s="125"/>
    </row>
    <row r="352" spans="1:26" x14ac:dyDescent="0.2">
      <c r="A352" s="101"/>
      <c r="B352" s="102"/>
      <c r="C352" s="102"/>
      <c r="D352" s="102"/>
      <c r="E352" s="102"/>
      <c r="F352" s="102"/>
      <c r="G352" s="102"/>
      <c r="H352" s="103"/>
      <c r="I352" s="75"/>
      <c r="J352" s="68"/>
      <c r="K352" s="68"/>
      <c r="L352" s="68"/>
      <c r="M352" s="68"/>
      <c r="N352" s="114"/>
      <c r="O352" s="34"/>
      <c r="P352" s="34"/>
      <c r="Q352" s="2">
        <f t="shared" ref="Q352:Q356" si="913">Q351-2</f>
        <v>13</v>
      </c>
      <c r="R352" s="2">
        <f t="shared" si="909"/>
        <v>-13</v>
      </c>
      <c r="S352" s="2"/>
      <c r="T352" s="2"/>
      <c r="U352" s="2">
        <f t="shared" ref="U352" si="914">0.098*J354*M354*0.5*R352</f>
        <v>0</v>
      </c>
      <c r="V352" s="10">
        <f t="shared" ref="V352" si="915">0.098*J354*M354*Q352</f>
        <v>0</v>
      </c>
      <c r="W352" s="2">
        <f t="shared" ref="W352" si="916">0.098*J354*M354*(S352-T352)</f>
        <v>0</v>
      </c>
      <c r="X352" s="84"/>
      <c r="Y352" s="82"/>
      <c r="Z352" s="125"/>
    </row>
    <row r="353" spans="1:26" x14ac:dyDescent="0.2">
      <c r="A353" s="101"/>
      <c r="B353" s="102"/>
      <c r="C353" s="102"/>
      <c r="D353" s="102"/>
      <c r="E353" s="102"/>
      <c r="F353" s="102"/>
      <c r="G353" s="102"/>
      <c r="H353" s="103"/>
      <c r="I353" s="75"/>
      <c r="J353" s="69"/>
      <c r="K353" s="69"/>
      <c r="L353" s="69"/>
      <c r="M353" s="69"/>
      <c r="N353" s="114"/>
      <c r="O353" s="34"/>
      <c r="P353" s="34"/>
      <c r="Q353" s="2">
        <f t="shared" si="913"/>
        <v>11</v>
      </c>
      <c r="R353" s="2">
        <f t="shared" si="909"/>
        <v>-11</v>
      </c>
      <c r="S353" s="2"/>
      <c r="T353" s="2"/>
      <c r="U353" s="2">
        <f t="shared" ref="U353" si="917">0.098*J354*M354*0.5*R353</f>
        <v>0</v>
      </c>
      <c r="V353" s="10">
        <f t="shared" ref="V353" si="918">0.098*J354*M354*Q353</f>
        <v>0</v>
      </c>
      <c r="W353" s="2">
        <f t="shared" ref="W353" si="919">0.098*J354*M354*(S353-T353)</f>
        <v>0</v>
      </c>
      <c r="X353" s="84"/>
      <c r="Y353" s="82"/>
      <c r="Z353" s="125"/>
    </row>
    <row r="354" spans="1:26" x14ac:dyDescent="0.2">
      <c r="A354" s="101"/>
      <c r="B354" s="102"/>
      <c r="C354" s="102"/>
      <c r="D354" s="102"/>
      <c r="E354" s="102"/>
      <c r="F354" s="102"/>
      <c r="G354" s="102"/>
      <c r="H354" s="103"/>
      <c r="I354" s="75"/>
      <c r="J354" s="86">
        <f t="shared" ref="J354" si="920">(9*F350)/1000</f>
        <v>-0.79815599999999998</v>
      </c>
      <c r="K354" s="89"/>
      <c r="L354" s="92"/>
      <c r="M354" s="92"/>
      <c r="N354" s="114"/>
      <c r="O354" s="34"/>
      <c r="P354" s="34"/>
      <c r="Q354" s="2">
        <f t="shared" si="913"/>
        <v>9</v>
      </c>
      <c r="R354" s="2">
        <f t="shared" si="909"/>
        <v>-9</v>
      </c>
      <c r="S354" s="2"/>
      <c r="T354" s="2"/>
      <c r="U354" s="2">
        <f t="shared" ref="U354" si="921">0.098*J354*M354*0.5*R354</f>
        <v>0</v>
      </c>
      <c r="V354" s="10">
        <f t="shared" ref="V354" si="922">0.098*J354*M354*Q354</f>
        <v>0</v>
      </c>
      <c r="W354" s="2">
        <f t="shared" ref="W354" si="923">0.098*J354*M354*(S354-T354)</f>
        <v>0</v>
      </c>
      <c r="X354" s="84"/>
      <c r="Y354" s="82"/>
      <c r="Z354" s="101">
        <f t="shared" ref="Z354" si="924">_xlfn.STDEV.S(R351:R356)</f>
        <v>3.7416573867739413</v>
      </c>
    </row>
    <row r="355" spans="1:26" x14ac:dyDescent="0.2">
      <c r="A355" s="101"/>
      <c r="B355" s="102"/>
      <c r="C355" s="102"/>
      <c r="D355" s="102"/>
      <c r="E355" s="102"/>
      <c r="F355" s="102"/>
      <c r="G355" s="102"/>
      <c r="H355" s="103"/>
      <c r="I355" s="75"/>
      <c r="J355" s="87"/>
      <c r="K355" s="90"/>
      <c r="L355" s="93"/>
      <c r="M355" s="93"/>
      <c r="N355" s="114"/>
      <c r="O355" s="34"/>
      <c r="P355" s="34"/>
      <c r="Q355" s="2">
        <f t="shared" si="913"/>
        <v>7</v>
      </c>
      <c r="R355" s="2">
        <f t="shared" si="909"/>
        <v>-7</v>
      </c>
      <c r="S355" s="2"/>
      <c r="T355" s="2"/>
      <c r="U355" s="2">
        <f t="shared" ref="U355" si="925">0.098*J354*M354*0.5*R355</f>
        <v>0</v>
      </c>
      <c r="V355" s="10">
        <f t="shared" ref="V355" si="926">0.098*J354*M354*Q355</f>
        <v>0</v>
      </c>
      <c r="W355" s="2">
        <f t="shared" ref="W355" si="927">0.098*J354*M354*(S355-T355)</f>
        <v>0</v>
      </c>
      <c r="X355" s="84"/>
      <c r="Y355" s="82"/>
      <c r="Z355" s="101"/>
    </row>
    <row r="356" spans="1:26" ht="17" thickBot="1" x14ac:dyDescent="0.25">
      <c r="A356" s="104"/>
      <c r="B356" s="105"/>
      <c r="C356" s="105"/>
      <c r="D356" s="105"/>
      <c r="E356" s="105"/>
      <c r="F356" s="105"/>
      <c r="G356" s="105"/>
      <c r="H356" s="106"/>
      <c r="I356" s="117"/>
      <c r="J356" s="88"/>
      <c r="K356" s="91"/>
      <c r="L356" s="94"/>
      <c r="M356" s="94"/>
      <c r="N356" s="115"/>
      <c r="O356" s="35"/>
      <c r="P356" s="35"/>
      <c r="Q356" s="20">
        <f t="shared" si="913"/>
        <v>5</v>
      </c>
      <c r="R356" s="2">
        <f t="shared" si="909"/>
        <v>-5</v>
      </c>
      <c r="S356" s="20"/>
      <c r="T356" s="20"/>
      <c r="U356" s="20">
        <f t="shared" ref="U356" si="928">0.098*J354*M354*0.5*R356</f>
        <v>0</v>
      </c>
      <c r="V356" s="21">
        <f t="shared" ref="V356" si="929">0.098*J354*M354*Q356</f>
        <v>0</v>
      </c>
      <c r="W356" s="20">
        <f t="shared" ref="W356" si="930">0.098*J354*M354*(S356-T356)</f>
        <v>0</v>
      </c>
      <c r="X356" s="85"/>
      <c r="Y356" s="83"/>
      <c r="Z356" s="101"/>
    </row>
    <row r="357" spans="1:26" x14ac:dyDescent="0.2">
      <c r="A357" s="107" t="s">
        <v>8</v>
      </c>
      <c r="B357" s="110" t="s">
        <v>3</v>
      </c>
      <c r="C357" s="110" t="s">
        <v>7</v>
      </c>
      <c r="D357" s="110" t="s">
        <v>9</v>
      </c>
      <c r="E357" s="71" t="s">
        <v>11</v>
      </c>
      <c r="F357" s="71" t="s">
        <v>10</v>
      </c>
      <c r="G357" s="71" t="s">
        <v>12</v>
      </c>
      <c r="H357" s="71" t="s">
        <v>32</v>
      </c>
      <c r="I357" s="74" t="s">
        <v>14</v>
      </c>
      <c r="J357" s="67" t="s">
        <v>31</v>
      </c>
      <c r="K357" s="67" t="s">
        <v>33</v>
      </c>
      <c r="L357" s="67" t="s">
        <v>17</v>
      </c>
      <c r="M357" s="67" t="s">
        <v>0</v>
      </c>
      <c r="N357" s="113" t="s">
        <v>16</v>
      </c>
      <c r="O357" s="4" t="s">
        <v>6</v>
      </c>
      <c r="P357" s="4" t="s">
        <v>34</v>
      </c>
      <c r="Q357" s="17" t="s">
        <v>2</v>
      </c>
      <c r="R357" s="17" t="s">
        <v>1</v>
      </c>
      <c r="S357" s="17" t="s">
        <v>25</v>
      </c>
      <c r="T357" s="17" t="s">
        <v>26</v>
      </c>
      <c r="U357" s="18" t="s">
        <v>20</v>
      </c>
      <c r="V357" s="18" t="s">
        <v>22</v>
      </c>
      <c r="W357" s="18" t="s">
        <v>24</v>
      </c>
      <c r="X357" s="77" t="s">
        <v>19</v>
      </c>
      <c r="Y357" s="79" t="s">
        <v>23</v>
      </c>
      <c r="Z357" s="125" t="s">
        <v>39</v>
      </c>
    </row>
    <row r="358" spans="1:26" x14ac:dyDescent="0.2">
      <c r="A358" s="108"/>
      <c r="B358" s="111"/>
      <c r="C358" s="111"/>
      <c r="D358" s="111"/>
      <c r="E358" s="72"/>
      <c r="F358" s="72"/>
      <c r="G358" s="72"/>
      <c r="H358" s="72"/>
      <c r="I358" s="75"/>
      <c r="J358" s="68"/>
      <c r="K358" s="68"/>
      <c r="L358" s="68"/>
      <c r="M358" s="68"/>
      <c r="N358" s="114"/>
      <c r="O358" s="34"/>
      <c r="P358" s="34"/>
      <c r="Q358" s="2">
        <v>15</v>
      </c>
      <c r="R358" s="2">
        <f t="shared" ref="R358:R363" si="931">T358-Q358</f>
        <v>-15</v>
      </c>
      <c r="S358" s="2"/>
      <c r="T358" s="2"/>
      <c r="U358" s="9">
        <f t="shared" ref="U358" si="932">0.098*J361*M361*0.5*R358</f>
        <v>0</v>
      </c>
      <c r="V358" s="9">
        <f t="shared" ref="V358" si="933">0.098*J361*M361*Q358</f>
        <v>0</v>
      </c>
      <c r="W358" s="8">
        <f t="shared" ref="W358" si="934">0.098*J361*M361*(S358-T358)</f>
        <v>0</v>
      </c>
      <c r="X358" s="78"/>
      <c r="Y358" s="80"/>
      <c r="Z358" s="125"/>
    </row>
    <row r="359" spans="1:26" x14ac:dyDescent="0.2">
      <c r="A359" s="108"/>
      <c r="B359" s="111"/>
      <c r="C359" s="111"/>
      <c r="D359" s="111"/>
      <c r="E359" s="72"/>
      <c r="F359" s="72"/>
      <c r="G359" s="72"/>
      <c r="H359" s="72"/>
      <c r="I359" s="75"/>
      <c r="J359" s="68"/>
      <c r="K359" s="68"/>
      <c r="L359" s="68"/>
      <c r="M359" s="68"/>
      <c r="N359" s="114"/>
      <c r="O359" s="34"/>
      <c r="P359" s="34"/>
      <c r="Q359" s="2">
        <f t="shared" ref="Q359:Q363" si="935">Q358-2</f>
        <v>13</v>
      </c>
      <c r="R359" s="2">
        <f t="shared" si="931"/>
        <v>-13</v>
      </c>
      <c r="S359" s="2"/>
      <c r="T359" s="2"/>
      <c r="U359" s="9">
        <f t="shared" ref="U359" si="936">0.098*J361*M361*0.5*R359</f>
        <v>0</v>
      </c>
      <c r="V359" s="9">
        <f t="shared" ref="V359" si="937">0.098*J361*M361*Q359</f>
        <v>0</v>
      </c>
      <c r="W359" s="8">
        <f t="shared" ref="W359" si="938">0.098*J361*M361*(S359-T359)</f>
        <v>0</v>
      </c>
      <c r="X359" s="23"/>
      <c r="Y359" s="81"/>
      <c r="Z359" s="125"/>
    </row>
    <row r="360" spans="1:26" x14ac:dyDescent="0.2">
      <c r="A360" s="108"/>
      <c r="B360" s="111"/>
      <c r="C360" s="111"/>
      <c r="D360" s="111"/>
      <c r="E360" s="72"/>
      <c r="F360" s="72"/>
      <c r="G360" s="72"/>
      <c r="H360" s="72"/>
      <c r="I360" s="75"/>
      <c r="J360" s="69"/>
      <c r="K360" s="69"/>
      <c r="L360" s="69"/>
      <c r="M360" s="69"/>
      <c r="N360" s="114"/>
      <c r="O360" s="34"/>
      <c r="P360" s="34"/>
      <c r="Q360" s="2">
        <f t="shared" si="935"/>
        <v>11</v>
      </c>
      <c r="R360" s="2">
        <f t="shared" si="931"/>
        <v>-11</v>
      </c>
      <c r="S360" s="2"/>
      <c r="T360" s="2"/>
      <c r="U360" s="9">
        <f t="shared" ref="U360" si="939">0.098*J361*M361*0.5*R360</f>
        <v>0</v>
      </c>
      <c r="V360" s="9">
        <f t="shared" ref="V360" si="940">0.098*J361*M361*Q360</f>
        <v>0</v>
      </c>
      <c r="W360" s="8">
        <f t="shared" ref="W360" si="941">0.098*J361*M361*(S360-T360)</f>
        <v>0</v>
      </c>
      <c r="X360" s="84"/>
      <c r="Y360" s="82"/>
      <c r="Z360" s="125"/>
    </row>
    <row r="361" spans="1:26" x14ac:dyDescent="0.2">
      <c r="A361" s="108"/>
      <c r="B361" s="111"/>
      <c r="C361" s="111"/>
      <c r="D361" s="111"/>
      <c r="E361" s="72"/>
      <c r="F361" s="72"/>
      <c r="G361" s="72"/>
      <c r="H361" s="72"/>
      <c r="I361" s="75"/>
      <c r="J361" s="86">
        <f t="shared" ref="J361" si="942">(7*F364)/1000</f>
        <v>-0.62078800000000001</v>
      </c>
      <c r="K361" s="89"/>
      <c r="L361" s="92"/>
      <c r="M361" s="92"/>
      <c r="N361" s="114"/>
      <c r="O361" s="34"/>
      <c r="P361" s="34"/>
      <c r="Q361" s="2">
        <f t="shared" si="935"/>
        <v>9</v>
      </c>
      <c r="R361" s="2">
        <f t="shared" si="931"/>
        <v>-9</v>
      </c>
      <c r="S361" s="2"/>
      <c r="T361" s="2"/>
      <c r="U361" s="9">
        <f t="shared" ref="U361" si="943">0.098*J361*M361*0.5*R361</f>
        <v>0</v>
      </c>
      <c r="V361" s="9">
        <f t="shared" ref="V361" si="944">0.098*J361*M361*Q361</f>
        <v>0</v>
      </c>
      <c r="W361" s="8">
        <f t="shared" ref="W361" si="945">0.098*J361*M361*(S361-T361)</f>
        <v>0</v>
      </c>
      <c r="X361" s="84"/>
      <c r="Y361" s="82"/>
      <c r="Z361" s="101">
        <f t="shared" ref="Z361" si="946">_xlfn.STDEV.S(R358:R363)</f>
        <v>3.7416573867739413</v>
      </c>
    </row>
    <row r="362" spans="1:26" x14ac:dyDescent="0.2">
      <c r="A362" s="108"/>
      <c r="B362" s="111"/>
      <c r="C362" s="111"/>
      <c r="D362" s="111"/>
      <c r="E362" s="72"/>
      <c r="F362" s="72"/>
      <c r="G362" s="72"/>
      <c r="H362" s="72"/>
      <c r="I362" s="75"/>
      <c r="J362" s="87"/>
      <c r="K362" s="90"/>
      <c r="L362" s="93"/>
      <c r="M362" s="93"/>
      <c r="N362" s="114"/>
      <c r="O362" s="34"/>
      <c r="P362" s="34"/>
      <c r="Q362" s="2">
        <f t="shared" si="935"/>
        <v>7</v>
      </c>
      <c r="R362" s="2">
        <f t="shared" si="931"/>
        <v>-7</v>
      </c>
      <c r="S362" s="2"/>
      <c r="T362" s="2"/>
      <c r="U362" s="9">
        <f t="shared" ref="U362" si="947">0.098*J361*M361*0.5*R362</f>
        <v>0</v>
      </c>
      <c r="V362" s="9">
        <f t="shared" ref="V362" si="948">0.098*J361*M361*Q362</f>
        <v>0</v>
      </c>
      <c r="W362" s="8">
        <f t="shared" ref="W362" si="949">0.098*J361*M361*(S362-T362)</f>
        <v>0</v>
      </c>
      <c r="X362" s="84"/>
      <c r="Y362" s="82"/>
      <c r="Z362" s="101"/>
    </row>
    <row r="363" spans="1:26" ht="17" thickBot="1" x14ac:dyDescent="0.25">
      <c r="A363" s="109"/>
      <c r="B363" s="112"/>
      <c r="C363" s="112"/>
      <c r="D363" s="112"/>
      <c r="E363" s="73"/>
      <c r="F363" s="73"/>
      <c r="G363" s="73"/>
      <c r="H363" s="73"/>
      <c r="I363" s="76"/>
      <c r="J363" s="97"/>
      <c r="K363" s="96"/>
      <c r="L363" s="95"/>
      <c r="M363" s="95"/>
      <c r="N363" s="114"/>
      <c r="O363" s="34"/>
      <c r="P363" s="34"/>
      <c r="Q363" s="2">
        <f t="shared" si="935"/>
        <v>5</v>
      </c>
      <c r="R363" s="2">
        <f t="shared" si="931"/>
        <v>-5</v>
      </c>
      <c r="S363" s="2"/>
      <c r="T363" s="2"/>
      <c r="U363" s="9">
        <f t="shared" ref="U363" si="950">0.098*J361*M361*0.5*R363</f>
        <v>0</v>
      </c>
      <c r="V363" s="9">
        <f t="shared" ref="V363" si="951">0.098*J361*M361*Q363</f>
        <v>0</v>
      </c>
      <c r="W363" s="8">
        <f t="shared" ref="W363" si="952">0.098*J361*M361*(S363-T363)</f>
        <v>0</v>
      </c>
      <c r="X363" s="84"/>
      <c r="Y363" s="82"/>
      <c r="Z363" s="101"/>
    </row>
    <row r="364" spans="1:26" x14ac:dyDescent="0.2">
      <c r="A364" s="19">
        <f t="shared" ref="A364:A420" si="953">A350+1</f>
        <v>25</v>
      </c>
      <c r="B364" s="3" t="s">
        <v>5</v>
      </c>
      <c r="C364" s="3"/>
      <c r="D364" s="3"/>
      <c r="E364" s="3"/>
      <c r="F364" s="3">
        <f t="shared" ref="F364" si="954">IF(B364="M", 50 + 0.91*(D364-152.4), IF(B364="F", 45.5 + 0.91*(D364-152.4), ""))</f>
        <v>-88.683999999999997</v>
      </c>
      <c r="G364" s="3"/>
      <c r="H364" s="3" t="e">
        <f t="shared" ref="H364" si="955">E364/(D364*10^-2)^2</f>
        <v>#DIV/0!</v>
      </c>
      <c r="I364" s="116" t="s">
        <v>15</v>
      </c>
      <c r="J364" s="70" t="s">
        <v>31</v>
      </c>
      <c r="K364" s="70" t="s">
        <v>33</v>
      </c>
      <c r="L364" s="70" t="s">
        <v>17</v>
      </c>
      <c r="M364" s="70" t="s">
        <v>0</v>
      </c>
      <c r="N364" s="114"/>
      <c r="O364" s="4" t="s">
        <v>6</v>
      </c>
      <c r="P364" s="4" t="s">
        <v>34</v>
      </c>
      <c r="Q364" s="6" t="s">
        <v>2</v>
      </c>
      <c r="R364" s="17" t="s">
        <v>1</v>
      </c>
      <c r="S364" s="17" t="s">
        <v>25</v>
      </c>
      <c r="T364" s="17" t="s">
        <v>26</v>
      </c>
      <c r="U364" s="7" t="s">
        <v>21</v>
      </c>
      <c r="V364" s="7" t="s">
        <v>22</v>
      </c>
      <c r="W364" s="7" t="s">
        <v>24</v>
      </c>
      <c r="X364" s="84"/>
      <c r="Y364" s="82"/>
      <c r="Z364" s="125" t="s">
        <v>39</v>
      </c>
    </row>
    <row r="365" spans="1:26" x14ac:dyDescent="0.2">
      <c r="A365" s="98"/>
      <c r="B365" s="99"/>
      <c r="C365" s="99"/>
      <c r="D365" s="99"/>
      <c r="E365" s="99"/>
      <c r="F365" s="99"/>
      <c r="G365" s="99"/>
      <c r="H365" s="100"/>
      <c r="I365" s="75"/>
      <c r="J365" s="68"/>
      <c r="K365" s="68"/>
      <c r="L365" s="68"/>
      <c r="M365" s="68"/>
      <c r="N365" s="114"/>
      <c r="O365" s="34"/>
      <c r="P365" s="34"/>
      <c r="Q365" s="2">
        <v>15</v>
      </c>
      <c r="R365" s="2">
        <f t="shared" ref="R365:R370" si="956">T365-Q365</f>
        <v>-15</v>
      </c>
      <c r="S365" s="2"/>
      <c r="T365" s="2"/>
      <c r="U365" s="2">
        <f t="shared" ref="U365" si="957">0.098*J368*M368*0.5*R365</f>
        <v>0</v>
      </c>
      <c r="V365" s="10">
        <f t="shared" ref="V365" si="958">0.098*J368*M368*Q365</f>
        <v>0</v>
      </c>
      <c r="W365" s="2">
        <f t="shared" ref="W365" si="959">0.098*J368*M368*(S365-T365)</f>
        <v>0</v>
      </c>
      <c r="X365" s="84"/>
      <c r="Y365" s="82"/>
      <c r="Z365" s="125"/>
    </row>
    <row r="366" spans="1:26" x14ac:dyDescent="0.2">
      <c r="A366" s="101"/>
      <c r="B366" s="102"/>
      <c r="C366" s="102"/>
      <c r="D366" s="102"/>
      <c r="E366" s="102"/>
      <c r="F366" s="102"/>
      <c r="G366" s="102"/>
      <c r="H366" s="103"/>
      <c r="I366" s="75"/>
      <c r="J366" s="68"/>
      <c r="K366" s="68"/>
      <c r="L366" s="68"/>
      <c r="M366" s="68"/>
      <c r="N366" s="114"/>
      <c r="O366" s="34"/>
      <c r="P366" s="34"/>
      <c r="Q366" s="2">
        <f t="shared" ref="Q366:Q370" si="960">Q365-2</f>
        <v>13</v>
      </c>
      <c r="R366" s="2">
        <f t="shared" si="956"/>
        <v>-13</v>
      </c>
      <c r="S366" s="2"/>
      <c r="T366" s="2"/>
      <c r="U366" s="2">
        <f t="shared" ref="U366" si="961">0.098*J368*M368*0.5*R366</f>
        <v>0</v>
      </c>
      <c r="V366" s="10">
        <f t="shared" ref="V366" si="962">0.098*J368*M368*Q366</f>
        <v>0</v>
      </c>
      <c r="W366" s="2">
        <f t="shared" ref="W366" si="963">0.098*J368*M368*(S366-T366)</f>
        <v>0</v>
      </c>
      <c r="X366" s="84"/>
      <c r="Y366" s="82"/>
      <c r="Z366" s="125"/>
    </row>
    <row r="367" spans="1:26" x14ac:dyDescent="0.2">
      <c r="A367" s="101"/>
      <c r="B367" s="102"/>
      <c r="C367" s="102"/>
      <c r="D367" s="102"/>
      <c r="E367" s="102"/>
      <c r="F367" s="102"/>
      <c r="G367" s="102"/>
      <c r="H367" s="103"/>
      <c r="I367" s="75"/>
      <c r="J367" s="69"/>
      <c r="K367" s="69"/>
      <c r="L367" s="69"/>
      <c r="M367" s="69"/>
      <c r="N367" s="114"/>
      <c r="O367" s="34"/>
      <c r="P367" s="34"/>
      <c r="Q367" s="2">
        <f t="shared" si="960"/>
        <v>11</v>
      </c>
      <c r="R367" s="2">
        <f t="shared" si="956"/>
        <v>-11</v>
      </c>
      <c r="S367" s="2"/>
      <c r="T367" s="2"/>
      <c r="U367" s="2">
        <f t="shared" ref="U367" si="964">0.098*J368*M368*0.5*R367</f>
        <v>0</v>
      </c>
      <c r="V367" s="10">
        <f t="shared" ref="V367" si="965">0.098*J368*M368*Q367</f>
        <v>0</v>
      </c>
      <c r="W367" s="2">
        <f t="shared" ref="W367" si="966">0.098*J368*M368*(S367-T367)</f>
        <v>0</v>
      </c>
      <c r="X367" s="84"/>
      <c r="Y367" s="82"/>
      <c r="Z367" s="125"/>
    </row>
    <row r="368" spans="1:26" x14ac:dyDescent="0.2">
      <c r="A368" s="101"/>
      <c r="B368" s="102"/>
      <c r="C368" s="102"/>
      <c r="D368" s="102"/>
      <c r="E368" s="102"/>
      <c r="F368" s="102"/>
      <c r="G368" s="102"/>
      <c r="H368" s="103"/>
      <c r="I368" s="75"/>
      <c r="J368" s="86">
        <f t="shared" ref="J368" si="967">(9*F364)/1000</f>
        <v>-0.79815599999999998</v>
      </c>
      <c r="K368" s="89"/>
      <c r="L368" s="92"/>
      <c r="M368" s="92"/>
      <c r="N368" s="114"/>
      <c r="O368" s="34"/>
      <c r="P368" s="34"/>
      <c r="Q368" s="2">
        <f t="shared" si="960"/>
        <v>9</v>
      </c>
      <c r="R368" s="2">
        <f t="shared" si="956"/>
        <v>-9</v>
      </c>
      <c r="S368" s="2"/>
      <c r="T368" s="2"/>
      <c r="U368" s="2">
        <f t="shared" ref="U368" si="968">0.098*J368*M368*0.5*R368</f>
        <v>0</v>
      </c>
      <c r="V368" s="10">
        <f t="shared" ref="V368" si="969">0.098*J368*M368*Q368</f>
        <v>0</v>
      </c>
      <c r="W368" s="2">
        <f t="shared" ref="W368" si="970">0.098*J368*M368*(S368-T368)</f>
        <v>0</v>
      </c>
      <c r="X368" s="84"/>
      <c r="Y368" s="82"/>
      <c r="Z368" s="101">
        <f t="shared" ref="Z368" si="971">_xlfn.STDEV.S(R365:R370)</f>
        <v>3.7416573867739413</v>
      </c>
    </row>
    <row r="369" spans="1:26" x14ac:dyDescent="0.2">
      <c r="A369" s="101"/>
      <c r="B369" s="102"/>
      <c r="C369" s="102"/>
      <c r="D369" s="102"/>
      <c r="E369" s="102"/>
      <c r="F369" s="102"/>
      <c r="G369" s="102"/>
      <c r="H369" s="103"/>
      <c r="I369" s="75"/>
      <c r="J369" s="87"/>
      <c r="K369" s="90"/>
      <c r="L369" s="93"/>
      <c r="M369" s="93"/>
      <c r="N369" s="114"/>
      <c r="O369" s="34"/>
      <c r="P369" s="34"/>
      <c r="Q369" s="2">
        <f t="shared" si="960"/>
        <v>7</v>
      </c>
      <c r="R369" s="2">
        <f t="shared" si="956"/>
        <v>-7</v>
      </c>
      <c r="S369" s="2"/>
      <c r="T369" s="2"/>
      <c r="U369" s="2">
        <f t="shared" ref="U369" si="972">0.098*J368*M368*0.5*R369</f>
        <v>0</v>
      </c>
      <c r="V369" s="10">
        <f t="shared" ref="V369" si="973">0.098*J368*M368*Q369</f>
        <v>0</v>
      </c>
      <c r="W369" s="2">
        <f t="shared" ref="W369" si="974">0.098*J368*M368*(S369-T369)</f>
        <v>0</v>
      </c>
      <c r="X369" s="84"/>
      <c r="Y369" s="82"/>
      <c r="Z369" s="101"/>
    </row>
    <row r="370" spans="1:26" ht="17" thickBot="1" x14ac:dyDescent="0.25">
      <c r="A370" s="104"/>
      <c r="B370" s="105"/>
      <c r="C370" s="105"/>
      <c r="D370" s="105"/>
      <c r="E370" s="105"/>
      <c r="F370" s="105"/>
      <c r="G370" s="105"/>
      <c r="H370" s="106"/>
      <c r="I370" s="117"/>
      <c r="J370" s="88"/>
      <c r="K370" s="91"/>
      <c r="L370" s="94"/>
      <c r="M370" s="94"/>
      <c r="N370" s="115"/>
      <c r="O370" s="35"/>
      <c r="P370" s="35"/>
      <c r="Q370" s="20">
        <f t="shared" si="960"/>
        <v>5</v>
      </c>
      <c r="R370" s="2">
        <f t="shared" si="956"/>
        <v>-5</v>
      </c>
      <c r="S370" s="20"/>
      <c r="T370" s="20"/>
      <c r="U370" s="20">
        <f t="shared" ref="U370" si="975">0.098*J368*M368*0.5*R370</f>
        <v>0</v>
      </c>
      <c r="V370" s="21">
        <f t="shared" ref="V370" si="976">0.098*J368*M368*Q370</f>
        <v>0</v>
      </c>
      <c r="W370" s="20">
        <f t="shared" ref="W370" si="977">0.098*J368*M368*(S370-T370)</f>
        <v>0</v>
      </c>
      <c r="X370" s="85"/>
      <c r="Y370" s="83"/>
      <c r="Z370" s="101"/>
    </row>
    <row r="371" spans="1:26" x14ac:dyDescent="0.2">
      <c r="A371" s="107" t="s">
        <v>8</v>
      </c>
      <c r="B371" s="110" t="s">
        <v>3</v>
      </c>
      <c r="C371" s="110" t="s">
        <v>7</v>
      </c>
      <c r="D371" s="110" t="s">
        <v>9</v>
      </c>
      <c r="E371" s="71" t="s">
        <v>11</v>
      </c>
      <c r="F371" s="71" t="s">
        <v>10</v>
      </c>
      <c r="G371" s="71" t="s">
        <v>12</v>
      </c>
      <c r="H371" s="71" t="s">
        <v>32</v>
      </c>
      <c r="I371" s="74" t="s">
        <v>14</v>
      </c>
      <c r="J371" s="67" t="s">
        <v>31</v>
      </c>
      <c r="K371" s="67" t="s">
        <v>33</v>
      </c>
      <c r="L371" s="67" t="s">
        <v>17</v>
      </c>
      <c r="M371" s="67" t="s">
        <v>0</v>
      </c>
      <c r="N371" s="113" t="s">
        <v>16</v>
      </c>
      <c r="O371" s="4" t="s">
        <v>6</v>
      </c>
      <c r="P371" s="4" t="s">
        <v>34</v>
      </c>
      <c r="Q371" s="17" t="s">
        <v>2</v>
      </c>
      <c r="R371" s="17" t="s">
        <v>1</v>
      </c>
      <c r="S371" s="17" t="s">
        <v>25</v>
      </c>
      <c r="T371" s="17" t="s">
        <v>26</v>
      </c>
      <c r="U371" s="18" t="s">
        <v>20</v>
      </c>
      <c r="V371" s="18" t="s">
        <v>22</v>
      </c>
      <c r="W371" s="18" t="s">
        <v>24</v>
      </c>
      <c r="X371" s="77" t="s">
        <v>19</v>
      </c>
      <c r="Y371" s="79" t="s">
        <v>23</v>
      </c>
      <c r="Z371" s="125" t="s">
        <v>39</v>
      </c>
    </row>
    <row r="372" spans="1:26" x14ac:dyDescent="0.2">
      <c r="A372" s="108"/>
      <c r="B372" s="111"/>
      <c r="C372" s="111"/>
      <c r="D372" s="111"/>
      <c r="E372" s="72"/>
      <c r="F372" s="72"/>
      <c r="G372" s="72"/>
      <c r="H372" s="72"/>
      <c r="I372" s="75"/>
      <c r="J372" s="68"/>
      <c r="K372" s="68"/>
      <c r="L372" s="68"/>
      <c r="M372" s="68"/>
      <c r="N372" s="114"/>
      <c r="O372" s="34"/>
      <c r="P372" s="34"/>
      <c r="Q372" s="2">
        <v>15</v>
      </c>
      <c r="R372" s="2">
        <f t="shared" ref="R372:R377" si="978">T372-Q372</f>
        <v>-15</v>
      </c>
      <c r="S372" s="2"/>
      <c r="T372" s="2"/>
      <c r="U372" s="9">
        <f t="shared" ref="U372" si="979">0.098*J375*M375*0.5*R372</f>
        <v>0</v>
      </c>
      <c r="V372" s="9">
        <f t="shared" ref="V372" si="980">0.098*J375*M375*Q372</f>
        <v>0</v>
      </c>
      <c r="W372" s="8">
        <f t="shared" ref="W372" si="981">0.098*J375*M375*(S372-T372)</f>
        <v>0</v>
      </c>
      <c r="X372" s="78"/>
      <c r="Y372" s="80"/>
      <c r="Z372" s="125"/>
    </row>
    <row r="373" spans="1:26" x14ac:dyDescent="0.2">
      <c r="A373" s="108"/>
      <c r="B373" s="111"/>
      <c r="C373" s="111"/>
      <c r="D373" s="111"/>
      <c r="E373" s="72"/>
      <c r="F373" s="72"/>
      <c r="G373" s="72"/>
      <c r="H373" s="72"/>
      <c r="I373" s="75"/>
      <c r="J373" s="68"/>
      <c r="K373" s="68"/>
      <c r="L373" s="68"/>
      <c r="M373" s="68"/>
      <c r="N373" s="114"/>
      <c r="O373" s="34"/>
      <c r="P373" s="34"/>
      <c r="Q373" s="2">
        <f t="shared" ref="Q373:Q377" si="982">Q372-2</f>
        <v>13</v>
      </c>
      <c r="R373" s="2">
        <f t="shared" si="978"/>
        <v>-13</v>
      </c>
      <c r="S373" s="2"/>
      <c r="T373" s="2"/>
      <c r="U373" s="9">
        <f t="shared" ref="U373" si="983">0.098*J375*M375*0.5*R373</f>
        <v>0</v>
      </c>
      <c r="V373" s="9">
        <f t="shared" ref="V373" si="984">0.098*J375*M375*Q373</f>
        <v>0</v>
      </c>
      <c r="W373" s="8">
        <f t="shared" ref="W373" si="985">0.098*J375*M375*(S373-T373)</f>
        <v>0</v>
      </c>
      <c r="X373" s="23"/>
      <c r="Y373" s="81"/>
      <c r="Z373" s="125"/>
    </row>
    <row r="374" spans="1:26" x14ac:dyDescent="0.2">
      <c r="A374" s="108"/>
      <c r="B374" s="111"/>
      <c r="C374" s="111"/>
      <c r="D374" s="111"/>
      <c r="E374" s="72"/>
      <c r="F374" s="72"/>
      <c r="G374" s="72"/>
      <c r="H374" s="72"/>
      <c r="I374" s="75"/>
      <c r="J374" s="69"/>
      <c r="K374" s="69"/>
      <c r="L374" s="69"/>
      <c r="M374" s="69"/>
      <c r="N374" s="114"/>
      <c r="O374" s="34"/>
      <c r="P374" s="34"/>
      <c r="Q374" s="2">
        <f t="shared" si="982"/>
        <v>11</v>
      </c>
      <c r="R374" s="2">
        <f t="shared" si="978"/>
        <v>-11</v>
      </c>
      <c r="S374" s="2"/>
      <c r="T374" s="2"/>
      <c r="U374" s="9">
        <f t="shared" ref="U374" si="986">0.098*J375*M375*0.5*R374</f>
        <v>0</v>
      </c>
      <c r="V374" s="9">
        <f t="shared" ref="V374" si="987">0.098*J375*M375*Q374</f>
        <v>0</v>
      </c>
      <c r="W374" s="8">
        <f t="shared" ref="W374" si="988">0.098*J375*M375*(S374-T374)</f>
        <v>0</v>
      </c>
      <c r="X374" s="84"/>
      <c r="Y374" s="82"/>
      <c r="Z374" s="125"/>
    </row>
    <row r="375" spans="1:26" x14ac:dyDescent="0.2">
      <c r="A375" s="108"/>
      <c r="B375" s="111"/>
      <c r="C375" s="111"/>
      <c r="D375" s="111"/>
      <c r="E375" s="72"/>
      <c r="F375" s="72"/>
      <c r="G375" s="72"/>
      <c r="H375" s="72"/>
      <c r="I375" s="75"/>
      <c r="J375" s="86">
        <f t="shared" ref="J375" si="989">(7*F378)/1000</f>
        <v>-0.62078800000000001</v>
      </c>
      <c r="K375" s="89"/>
      <c r="L375" s="92"/>
      <c r="M375" s="92"/>
      <c r="N375" s="114"/>
      <c r="O375" s="34"/>
      <c r="P375" s="34"/>
      <c r="Q375" s="2">
        <f t="shared" si="982"/>
        <v>9</v>
      </c>
      <c r="R375" s="2">
        <f t="shared" si="978"/>
        <v>-9</v>
      </c>
      <c r="S375" s="2"/>
      <c r="T375" s="2"/>
      <c r="U375" s="9">
        <f t="shared" ref="U375" si="990">0.098*J375*M375*0.5*R375</f>
        <v>0</v>
      </c>
      <c r="V375" s="9">
        <f t="shared" ref="V375" si="991">0.098*J375*M375*Q375</f>
        <v>0</v>
      </c>
      <c r="W375" s="8">
        <f t="shared" ref="W375" si="992">0.098*J375*M375*(S375-T375)</f>
        <v>0</v>
      </c>
      <c r="X375" s="84"/>
      <c r="Y375" s="82"/>
      <c r="Z375" s="101">
        <f t="shared" ref="Z375" si="993">_xlfn.STDEV.S(R372:R377)</f>
        <v>3.7416573867739413</v>
      </c>
    </row>
    <row r="376" spans="1:26" x14ac:dyDescent="0.2">
      <c r="A376" s="108"/>
      <c r="B376" s="111"/>
      <c r="C376" s="111"/>
      <c r="D376" s="111"/>
      <c r="E376" s="72"/>
      <c r="F376" s="72"/>
      <c r="G376" s="72"/>
      <c r="H376" s="72"/>
      <c r="I376" s="75"/>
      <c r="J376" s="87"/>
      <c r="K376" s="90"/>
      <c r="L376" s="93"/>
      <c r="M376" s="93"/>
      <c r="N376" s="114"/>
      <c r="O376" s="34"/>
      <c r="P376" s="34"/>
      <c r="Q376" s="2">
        <f t="shared" si="982"/>
        <v>7</v>
      </c>
      <c r="R376" s="2">
        <f t="shared" si="978"/>
        <v>-7</v>
      </c>
      <c r="S376" s="2"/>
      <c r="T376" s="2"/>
      <c r="U376" s="9">
        <f t="shared" ref="U376" si="994">0.098*J375*M375*0.5*R376</f>
        <v>0</v>
      </c>
      <c r="V376" s="9">
        <f t="shared" ref="V376" si="995">0.098*J375*M375*Q376</f>
        <v>0</v>
      </c>
      <c r="W376" s="8">
        <f t="shared" ref="W376" si="996">0.098*J375*M375*(S376-T376)</f>
        <v>0</v>
      </c>
      <c r="X376" s="84"/>
      <c r="Y376" s="82"/>
      <c r="Z376" s="101"/>
    </row>
    <row r="377" spans="1:26" ht="17" thickBot="1" x14ac:dyDescent="0.25">
      <c r="A377" s="109"/>
      <c r="B377" s="112"/>
      <c r="C377" s="112"/>
      <c r="D377" s="112"/>
      <c r="E377" s="73"/>
      <c r="F377" s="73"/>
      <c r="G377" s="73"/>
      <c r="H377" s="73"/>
      <c r="I377" s="76"/>
      <c r="J377" s="97"/>
      <c r="K377" s="96"/>
      <c r="L377" s="95"/>
      <c r="M377" s="95"/>
      <c r="N377" s="114"/>
      <c r="O377" s="34"/>
      <c r="P377" s="34"/>
      <c r="Q377" s="2">
        <f t="shared" si="982"/>
        <v>5</v>
      </c>
      <c r="R377" s="2">
        <f t="shared" si="978"/>
        <v>-5</v>
      </c>
      <c r="S377" s="2"/>
      <c r="T377" s="2"/>
      <c r="U377" s="9">
        <f t="shared" ref="U377" si="997">0.098*J375*M375*0.5*R377</f>
        <v>0</v>
      </c>
      <c r="V377" s="9">
        <f t="shared" ref="V377" si="998">0.098*J375*M375*Q377</f>
        <v>0</v>
      </c>
      <c r="W377" s="8">
        <f t="shared" ref="W377" si="999">0.098*J375*M375*(S377-T377)</f>
        <v>0</v>
      </c>
      <c r="X377" s="84"/>
      <c r="Y377" s="82"/>
      <c r="Z377" s="101"/>
    </row>
    <row r="378" spans="1:26" x14ac:dyDescent="0.2">
      <c r="A378" s="19">
        <f t="shared" si="953"/>
        <v>26</v>
      </c>
      <c r="B378" s="3" t="s">
        <v>5</v>
      </c>
      <c r="C378" s="3"/>
      <c r="D378" s="3"/>
      <c r="E378" s="3"/>
      <c r="F378" s="3">
        <f t="shared" ref="F378" si="1000">IF(B378="M", 50 + 0.91*(D378-152.4), IF(B378="F", 45.5 + 0.91*(D378-152.4), ""))</f>
        <v>-88.683999999999997</v>
      </c>
      <c r="G378" s="3"/>
      <c r="H378" s="3" t="e">
        <f t="shared" ref="H378" si="1001">E378/(D378*10^-2)^2</f>
        <v>#DIV/0!</v>
      </c>
      <c r="I378" s="116" t="s">
        <v>15</v>
      </c>
      <c r="J378" s="70" t="s">
        <v>31</v>
      </c>
      <c r="K378" s="70" t="s">
        <v>33</v>
      </c>
      <c r="L378" s="70" t="s">
        <v>17</v>
      </c>
      <c r="M378" s="70" t="s">
        <v>0</v>
      </c>
      <c r="N378" s="114"/>
      <c r="O378" s="4" t="s">
        <v>6</v>
      </c>
      <c r="P378" s="4" t="s">
        <v>34</v>
      </c>
      <c r="Q378" s="6" t="s">
        <v>2</v>
      </c>
      <c r="R378" s="17" t="s">
        <v>1</v>
      </c>
      <c r="S378" s="17" t="s">
        <v>25</v>
      </c>
      <c r="T378" s="17" t="s">
        <v>26</v>
      </c>
      <c r="U378" s="7" t="s">
        <v>21</v>
      </c>
      <c r="V378" s="7" t="s">
        <v>22</v>
      </c>
      <c r="W378" s="7" t="s">
        <v>24</v>
      </c>
      <c r="X378" s="84"/>
      <c r="Y378" s="82"/>
      <c r="Z378" s="125" t="s">
        <v>39</v>
      </c>
    </row>
    <row r="379" spans="1:26" x14ac:dyDescent="0.2">
      <c r="A379" s="98"/>
      <c r="B379" s="99"/>
      <c r="C379" s="99"/>
      <c r="D379" s="99"/>
      <c r="E379" s="99"/>
      <c r="F379" s="99"/>
      <c r="G379" s="99"/>
      <c r="H379" s="100"/>
      <c r="I379" s="75"/>
      <c r="J379" s="68"/>
      <c r="K379" s="68"/>
      <c r="L379" s="68"/>
      <c r="M379" s="68"/>
      <c r="N379" s="114"/>
      <c r="O379" s="34"/>
      <c r="P379" s="34"/>
      <c r="Q379" s="2">
        <v>15</v>
      </c>
      <c r="R379" s="2">
        <f t="shared" ref="R379:R384" si="1002">T379-Q379</f>
        <v>-15</v>
      </c>
      <c r="S379" s="2"/>
      <c r="T379" s="2"/>
      <c r="U379" s="2">
        <f t="shared" ref="U379" si="1003">0.098*J382*M382*0.5*R379</f>
        <v>0</v>
      </c>
      <c r="V379" s="10">
        <f t="shared" ref="V379" si="1004">0.098*J382*M382*Q379</f>
        <v>0</v>
      </c>
      <c r="W379" s="2">
        <f t="shared" ref="W379" si="1005">0.098*J382*M382*(S379-T379)</f>
        <v>0</v>
      </c>
      <c r="X379" s="84"/>
      <c r="Y379" s="82"/>
      <c r="Z379" s="125"/>
    </row>
    <row r="380" spans="1:26" x14ac:dyDescent="0.2">
      <c r="A380" s="101"/>
      <c r="B380" s="102"/>
      <c r="C380" s="102"/>
      <c r="D380" s="102"/>
      <c r="E380" s="102"/>
      <c r="F380" s="102"/>
      <c r="G380" s="102"/>
      <c r="H380" s="103"/>
      <c r="I380" s="75"/>
      <c r="J380" s="68"/>
      <c r="K380" s="68"/>
      <c r="L380" s="68"/>
      <c r="M380" s="68"/>
      <c r="N380" s="114"/>
      <c r="O380" s="34"/>
      <c r="P380" s="34"/>
      <c r="Q380" s="2">
        <f t="shared" ref="Q380:Q384" si="1006">Q379-2</f>
        <v>13</v>
      </c>
      <c r="R380" s="2">
        <f t="shared" si="1002"/>
        <v>-13</v>
      </c>
      <c r="S380" s="2"/>
      <c r="T380" s="2"/>
      <c r="U380" s="2">
        <f t="shared" ref="U380" si="1007">0.098*J382*M382*0.5*R380</f>
        <v>0</v>
      </c>
      <c r="V380" s="10">
        <f t="shared" ref="V380" si="1008">0.098*J382*M382*Q380</f>
        <v>0</v>
      </c>
      <c r="W380" s="2">
        <f t="shared" ref="W380" si="1009">0.098*J382*M382*(S380-T380)</f>
        <v>0</v>
      </c>
      <c r="X380" s="84"/>
      <c r="Y380" s="82"/>
      <c r="Z380" s="125"/>
    </row>
    <row r="381" spans="1:26" x14ac:dyDescent="0.2">
      <c r="A381" s="101"/>
      <c r="B381" s="102"/>
      <c r="C381" s="102"/>
      <c r="D381" s="102"/>
      <c r="E381" s="102"/>
      <c r="F381" s="102"/>
      <c r="G381" s="102"/>
      <c r="H381" s="103"/>
      <c r="I381" s="75"/>
      <c r="J381" s="69"/>
      <c r="K381" s="69"/>
      <c r="L381" s="69"/>
      <c r="M381" s="69"/>
      <c r="N381" s="114"/>
      <c r="O381" s="34"/>
      <c r="P381" s="34"/>
      <c r="Q381" s="2">
        <f t="shared" si="1006"/>
        <v>11</v>
      </c>
      <c r="R381" s="2">
        <f t="shared" si="1002"/>
        <v>-11</v>
      </c>
      <c r="S381" s="2"/>
      <c r="T381" s="2"/>
      <c r="U381" s="2">
        <f t="shared" ref="U381" si="1010">0.098*J382*M382*0.5*R381</f>
        <v>0</v>
      </c>
      <c r="V381" s="10">
        <f t="shared" ref="V381" si="1011">0.098*J382*M382*Q381</f>
        <v>0</v>
      </c>
      <c r="W381" s="2">
        <f t="shared" ref="W381" si="1012">0.098*J382*M382*(S381-T381)</f>
        <v>0</v>
      </c>
      <c r="X381" s="84"/>
      <c r="Y381" s="82"/>
      <c r="Z381" s="125"/>
    </row>
    <row r="382" spans="1:26" x14ac:dyDescent="0.2">
      <c r="A382" s="101"/>
      <c r="B382" s="102"/>
      <c r="C382" s="102"/>
      <c r="D382" s="102"/>
      <c r="E382" s="102"/>
      <c r="F382" s="102"/>
      <c r="G382" s="102"/>
      <c r="H382" s="103"/>
      <c r="I382" s="75"/>
      <c r="J382" s="86">
        <f t="shared" ref="J382" si="1013">(9*F378)/1000</f>
        <v>-0.79815599999999998</v>
      </c>
      <c r="K382" s="89"/>
      <c r="L382" s="92"/>
      <c r="M382" s="92"/>
      <c r="N382" s="114"/>
      <c r="O382" s="34"/>
      <c r="P382" s="34"/>
      <c r="Q382" s="2">
        <f t="shared" si="1006"/>
        <v>9</v>
      </c>
      <c r="R382" s="2">
        <f t="shared" si="1002"/>
        <v>-9</v>
      </c>
      <c r="S382" s="2"/>
      <c r="T382" s="2"/>
      <c r="U382" s="2">
        <f t="shared" ref="U382" si="1014">0.098*J382*M382*0.5*R382</f>
        <v>0</v>
      </c>
      <c r="V382" s="10">
        <f t="shared" ref="V382" si="1015">0.098*J382*M382*Q382</f>
        <v>0</v>
      </c>
      <c r="W382" s="2">
        <f t="shared" ref="W382" si="1016">0.098*J382*M382*(S382-T382)</f>
        <v>0</v>
      </c>
      <c r="X382" s="84"/>
      <c r="Y382" s="82"/>
      <c r="Z382" s="101">
        <f t="shared" ref="Z382" si="1017">_xlfn.STDEV.S(R379:R384)</f>
        <v>3.7416573867739413</v>
      </c>
    </row>
    <row r="383" spans="1:26" x14ac:dyDescent="0.2">
      <c r="A383" s="101"/>
      <c r="B383" s="102"/>
      <c r="C383" s="102"/>
      <c r="D383" s="102"/>
      <c r="E383" s="102"/>
      <c r="F383" s="102"/>
      <c r="G383" s="102"/>
      <c r="H383" s="103"/>
      <c r="I383" s="75"/>
      <c r="J383" s="87"/>
      <c r="K383" s="90"/>
      <c r="L383" s="93"/>
      <c r="M383" s="93"/>
      <c r="N383" s="114"/>
      <c r="O383" s="34"/>
      <c r="P383" s="34"/>
      <c r="Q383" s="2">
        <f t="shared" si="1006"/>
        <v>7</v>
      </c>
      <c r="R383" s="2">
        <f t="shared" si="1002"/>
        <v>-7</v>
      </c>
      <c r="S383" s="2"/>
      <c r="T383" s="2"/>
      <c r="U383" s="2">
        <f t="shared" ref="U383" si="1018">0.098*J382*M382*0.5*R383</f>
        <v>0</v>
      </c>
      <c r="V383" s="10">
        <f t="shared" ref="V383" si="1019">0.098*J382*M382*Q383</f>
        <v>0</v>
      </c>
      <c r="W383" s="2">
        <f t="shared" ref="W383" si="1020">0.098*J382*M382*(S383-T383)</f>
        <v>0</v>
      </c>
      <c r="X383" s="84"/>
      <c r="Y383" s="82"/>
      <c r="Z383" s="101"/>
    </row>
    <row r="384" spans="1:26" ht="17" thickBot="1" x14ac:dyDescent="0.25">
      <c r="A384" s="104"/>
      <c r="B384" s="105"/>
      <c r="C384" s="105"/>
      <c r="D384" s="105"/>
      <c r="E384" s="105"/>
      <c r="F384" s="105"/>
      <c r="G384" s="105"/>
      <c r="H384" s="106"/>
      <c r="I384" s="117"/>
      <c r="J384" s="88"/>
      <c r="K384" s="91"/>
      <c r="L384" s="94"/>
      <c r="M384" s="94"/>
      <c r="N384" s="115"/>
      <c r="O384" s="35"/>
      <c r="P384" s="35"/>
      <c r="Q384" s="20">
        <f t="shared" si="1006"/>
        <v>5</v>
      </c>
      <c r="R384" s="2">
        <f t="shared" si="1002"/>
        <v>-5</v>
      </c>
      <c r="S384" s="20"/>
      <c r="T384" s="20"/>
      <c r="U384" s="20">
        <f t="shared" ref="U384" si="1021">0.098*J382*M382*0.5*R384</f>
        <v>0</v>
      </c>
      <c r="V384" s="21">
        <f t="shared" ref="V384" si="1022">0.098*J382*M382*Q384</f>
        <v>0</v>
      </c>
      <c r="W384" s="20">
        <f t="shared" ref="W384" si="1023">0.098*J382*M382*(S384-T384)</f>
        <v>0</v>
      </c>
      <c r="X384" s="85"/>
      <c r="Y384" s="83"/>
      <c r="Z384" s="101"/>
    </row>
    <row r="385" spans="1:26" x14ac:dyDescent="0.2">
      <c r="A385" s="107" t="s">
        <v>8</v>
      </c>
      <c r="B385" s="110" t="s">
        <v>3</v>
      </c>
      <c r="C385" s="110" t="s">
        <v>7</v>
      </c>
      <c r="D385" s="110" t="s">
        <v>9</v>
      </c>
      <c r="E385" s="71" t="s">
        <v>11</v>
      </c>
      <c r="F385" s="71" t="s">
        <v>10</v>
      </c>
      <c r="G385" s="71" t="s">
        <v>12</v>
      </c>
      <c r="H385" s="71" t="s">
        <v>32</v>
      </c>
      <c r="I385" s="74" t="s">
        <v>14</v>
      </c>
      <c r="J385" s="67" t="s">
        <v>31</v>
      </c>
      <c r="K385" s="67" t="s">
        <v>33</v>
      </c>
      <c r="L385" s="67" t="s">
        <v>17</v>
      </c>
      <c r="M385" s="67" t="s">
        <v>0</v>
      </c>
      <c r="N385" s="113" t="s">
        <v>16</v>
      </c>
      <c r="O385" s="4" t="s">
        <v>6</v>
      </c>
      <c r="P385" s="4" t="s">
        <v>34</v>
      </c>
      <c r="Q385" s="17" t="s">
        <v>2</v>
      </c>
      <c r="R385" s="17" t="s">
        <v>1</v>
      </c>
      <c r="S385" s="17" t="s">
        <v>25</v>
      </c>
      <c r="T385" s="17" t="s">
        <v>26</v>
      </c>
      <c r="U385" s="18" t="s">
        <v>20</v>
      </c>
      <c r="V385" s="18" t="s">
        <v>22</v>
      </c>
      <c r="W385" s="18" t="s">
        <v>24</v>
      </c>
      <c r="X385" s="77" t="s">
        <v>19</v>
      </c>
      <c r="Y385" s="79" t="s">
        <v>23</v>
      </c>
      <c r="Z385" s="125" t="s">
        <v>39</v>
      </c>
    </row>
    <row r="386" spans="1:26" x14ac:dyDescent="0.2">
      <c r="A386" s="108"/>
      <c r="B386" s="111"/>
      <c r="C386" s="111"/>
      <c r="D386" s="111"/>
      <c r="E386" s="72"/>
      <c r="F386" s="72"/>
      <c r="G386" s="72"/>
      <c r="H386" s="72"/>
      <c r="I386" s="75"/>
      <c r="J386" s="68"/>
      <c r="K386" s="68"/>
      <c r="L386" s="68"/>
      <c r="M386" s="68"/>
      <c r="N386" s="114"/>
      <c r="O386" s="34"/>
      <c r="P386" s="34"/>
      <c r="Q386" s="2">
        <v>15</v>
      </c>
      <c r="R386" s="2">
        <f t="shared" ref="R386:R391" si="1024">T386-Q386</f>
        <v>-15</v>
      </c>
      <c r="S386" s="2"/>
      <c r="T386" s="2"/>
      <c r="U386" s="9">
        <f t="shared" ref="U386" si="1025">0.098*J389*M389*0.5*R386</f>
        <v>0</v>
      </c>
      <c r="V386" s="9">
        <f t="shared" ref="V386" si="1026">0.098*J389*M389*Q386</f>
        <v>0</v>
      </c>
      <c r="W386" s="8">
        <f t="shared" ref="W386" si="1027">0.098*J389*M389*(S386-T386)</f>
        <v>0</v>
      </c>
      <c r="X386" s="78"/>
      <c r="Y386" s="80"/>
      <c r="Z386" s="125"/>
    </row>
    <row r="387" spans="1:26" x14ac:dyDescent="0.2">
      <c r="A387" s="108"/>
      <c r="B387" s="111"/>
      <c r="C387" s="111"/>
      <c r="D387" s="111"/>
      <c r="E387" s="72"/>
      <c r="F387" s="72"/>
      <c r="G387" s="72"/>
      <c r="H387" s="72"/>
      <c r="I387" s="75"/>
      <c r="J387" s="68"/>
      <c r="K387" s="68"/>
      <c r="L387" s="68"/>
      <c r="M387" s="68"/>
      <c r="N387" s="114"/>
      <c r="O387" s="34"/>
      <c r="P387" s="34"/>
      <c r="Q387" s="2">
        <f t="shared" ref="Q387:Q391" si="1028">Q386-2</f>
        <v>13</v>
      </c>
      <c r="R387" s="2">
        <f t="shared" si="1024"/>
        <v>-13</v>
      </c>
      <c r="S387" s="2"/>
      <c r="T387" s="2"/>
      <c r="U387" s="9">
        <f t="shared" ref="U387" si="1029">0.098*J389*M389*0.5*R387</f>
        <v>0</v>
      </c>
      <c r="V387" s="9">
        <f t="shared" ref="V387" si="1030">0.098*J389*M389*Q387</f>
        <v>0</v>
      </c>
      <c r="W387" s="8">
        <f t="shared" ref="W387" si="1031">0.098*J389*M389*(S387-T387)</f>
        <v>0</v>
      </c>
      <c r="X387" s="23"/>
      <c r="Y387" s="81"/>
      <c r="Z387" s="125"/>
    </row>
    <row r="388" spans="1:26" x14ac:dyDescent="0.2">
      <c r="A388" s="108"/>
      <c r="B388" s="111"/>
      <c r="C388" s="111"/>
      <c r="D388" s="111"/>
      <c r="E388" s="72"/>
      <c r="F388" s="72"/>
      <c r="G388" s="72"/>
      <c r="H388" s="72"/>
      <c r="I388" s="75"/>
      <c r="J388" s="69"/>
      <c r="K388" s="69"/>
      <c r="L388" s="69"/>
      <c r="M388" s="69"/>
      <c r="N388" s="114"/>
      <c r="O388" s="34"/>
      <c r="P388" s="34"/>
      <c r="Q388" s="2">
        <f t="shared" si="1028"/>
        <v>11</v>
      </c>
      <c r="R388" s="2">
        <f t="shared" si="1024"/>
        <v>-11</v>
      </c>
      <c r="S388" s="2"/>
      <c r="T388" s="2"/>
      <c r="U388" s="9">
        <f t="shared" ref="U388" si="1032">0.098*J389*M389*0.5*R388</f>
        <v>0</v>
      </c>
      <c r="V388" s="9">
        <f t="shared" ref="V388" si="1033">0.098*J389*M389*Q388</f>
        <v>0</v>
      </c>
      <c r="W388" s="8">
        <f t="shared" ref="W388" si="1034">0.098*J389*M389*(S388-T388)</f>
        <v>0</v>
      </c>
      <c r="X388" s="84"/>
      <c r="Y388" s="82"/>
      <c r="Z388" s="125"/>
    </row>
    <row r="389" spans="1:26" x14ac:dyDescent="0.2">
      <c r="A389" s="108"/>
      <c r="B389" s="111"/>
      <c r="C389" s="111"/>
      <c r="D389" s="111"/>
      <c r="E389" s="72"/>
      <c r="F389" s="72"/>
      <c r="G389" s="72"/>
      <c r="H389" s="72"/>
      <c r="I389" s="75"/>
      <c r="J389" s="86">
        <f t="shared" ref="J389" si="1035">(7*F392)/1000</f>
        <v>-0.62078800000000001</v>
      </c>
      <c r="K389" s="89"/>
      <c r="L389" s="92"/>
      <c r="M389" s="92"/>
      <c r="N389" s="114"/>
      <c r="O389" s="34"/>
      <c r="P389" s="34"/>
      <c r="Q389" s="2">
        <f t="shared" si="1028"/>
        <v>9</v>
      </c>
      <c r="R389" s="2">
        <f t="shared" si="1024"/>
        <v>-9</v>
      </c>
      <c r="S389" s="2"/>
      <c r="T389" s="2"/>
      <c r="U389" s="9">
        <f t="shared" ref="U389" si="1036">0.098*J389*M389*0.5*R389</f>
        <v>0</v>
      </c>
      <c r="V389" s="9">
        <f t="shared" ref="V389" si="1037">0.098*J389*M389*Q389</f>
        <v>0</v>
      </c>
      <c r="W389" s="8">
        <f t="shared" ref="W389" si="1038">0.098*J389*M389*(S389-T389)</f>
        <v>0</v>
      </c>
      <c r="X389" s="84"/>
      <c r="Y389" s="82"/>
      <c r="Z389" s="101">
        <f t="shared" ref="Z389" si="1039">_xlfn.STDEV.S(R386:R391)</f>
        <v>3.7416573867739413</v>
      </c>
    </row>
    <row r="390" spans="1:26" x14ac:dyDescent="0.2">
      <c r="A390" s="108"/>
      <c r="B390" s="111"/>
      <c r="C390" s="111"/>
      <c r="D390" s="111"/>
      <c r="E390" s="72"/>
      <c r="F390" s="72"/>
      <c r="G390" s="72"/>
      <c r="H390" s="72"/>
      <c r="I390" s="75"/>
      <c r="J390" s="87"/>
      <c r="K390" s="90"/>
      <c r="L390" s="93"/>
      <c r="M390" s="93"/>
      <c r="N390" s="114"/>
      <c r="O390" s="34"/>
      <c r="P390" s="34"/>
      <c r="Q390" s="2">
        <f t="shared" si="1028"/>
        <v>7</v>
      </c>
      <c r="R390" s="2">
        <f t="shared" si="1024"/>
        <v>-7</v>
      </c>
      <c r="S390" s="2"/>
      <c r="T390" s="2"/>
      <c r="U390" s="9">
        <f t="shared" ref="U390" si="1040">0.098*J389*M389*0.5*R390</f>
        <v>0</v>
      </c>
      <c r="V390" s="9">
        <f t="shared" ref="V390" si="1041">0.098*J389*M389*Q390</f>
        <v>0</v>
      </c>
      <c r="W390" s="8">
        <f t="shared" ref="W390" si="1042">0.098*J389*M389*(S390-T390)</f>
        <v>0</v>
      </c>
      <c r="X390" s="84"/>
      <c r="Y390" s="82"/>
      <c r="Z390" s="101"/>
    </row>
    <row r="391" spans="1:26" ht="17" thickBot="1" x14ac:dyDescent="0.25">
      <c r="A391" s="109"/>
      <c r="B391" s="112"/>
      <c r="C391" s="112"/>
      <c r="D391" s="112"/>
      <c r="E391" s="73"/>
      <c r="F391" s="73"/>
      <c r="G391" s="73"/>
      <c r="H391" s="73"/>
      <c r="I391" s="76"/>
      <c r="J391" s="97"/>
      <c r="K391" s="96"/>
      <c r="L391" s="95"/>
      <c r="M391" s="95"/>
      <c r="N391" s="114"/>
      <c r="O391" s="34"/>
      <c r="P391" s="34"/>
      <c r="Q391" s="2">
        <f t="shared" si="1028"/>
        <v>5</v>
      </c>
      <c r="R391" s="2">
        <f t="shared" si="1024"/>
        <v>-5</v>
      </c>
      <c r="S391" s="2"/>
      <c r="T391" s="2"/>
      <c r="U391" s="9">
        <f t="shared" ref="U391" si="1043">0.098*J389*M389*0.5*R391</f>
        <v>0</v>
      </c>
      <c r="V391" s="9">
        <f t="shared" ref="V391" si="1044">0.098*J389*M389*Q391</f>
        <v>0</v>
      </c>
      <c r="W391" s="8">
        <f t="shared" ref="W391" si="1045">0.098*J389*M389*(S391-T391)</f>
        <v>0</v>
      </c>
      <c r="X391" s="84"/>
      <c r="Y391" s="82"/>
      <c r="Z391" s="101"/>
    </row>
    <row r="392" spans="1:26" x14ac:dyDescent="0.2">
      <c r="A392" s="19">
        <f t="shared" si="953"/>
        <v>27</v>
      </c>
      <c r="B392" s="3" t="s">
        <v>5</v>
      </c>
      <c r="C392" s="3"/>
      <c r="D392" s="3"/>
      <c r="E392" s="3"/>
      <c r="F392" s="3">
        <f t="shared" ref="F392" si="1046">IF(B392="M", 50 + 0.91*(D392-152.4), IF(B392="F", 45.5 + 0.91*(D392-152.4), ""))</f>
        <v>-88.683999999999997</v>
      </c>
      <c r="G392" s="3"/>
      <c r="H392" s="3" t="e">
        <f t="shared" ref="H392" si="1047">E392/(D392*10^-2)^2</f>
        <v>#DIV/0!</v>
      </c>
      <c r="I392" s="116" t="s">
        <v>15</v>
      </c>
      <c r="J392" s="70" t="s">
        <v>31</v>
      </c>
      <c r="K392" s="70" t="s">
        <v>33</v>
      </c>
      <c r="L392" s="70" t="s">
        <v>17</v>
      </c>
      <c r="M392" s="70" t="s">
        <v>0</v>
      </c>
      <c r="N392" s="114"/>
      <c r="O392" s="4" t="s">
        <v>6</v>
      </c>
      <c r="P392" s="4" t="s">
        <v>34</v>
      </c>
      <c r="Q392" s="6" t="s">
        <v>2</v>
      </c>
      <c r="R392" s="17" t="s">
        <v>1</v>
      </c>
      <c r="S392" s="17" t="s">
        <v>25</v>
      </c>
      <c r="T392" s="17" t="s">
        <v>26</v>
      </c>
      <c r="U392" s="7" t="s">
        <v>21</v>
      </c>
      <c r="V392" s="7" t="s">
        <v>22</v>
      </c>
      <c r="W392" s="7" t="s">
        <v>24</v>
      </c>
      <c r="X392" s="84"/>
      <c r="Y392" s="82"/>
      <c r="Z392" s="125" t="s">
        <v>39</v>
      </c>
    </row>
    <row r="393" spans="1:26" x14ac:dyDescent="0.2">
      <c r="A393" s="98"/>
      <c r="B393" s="99"/>
      <c r="C393" s="99"/>
      <c r="D393" s="99"/>
      <c r="E393" s="99"/>
      <c r="F393" s="99"/>
      <c r="G393" s="99"/>
      <c r="H393" s="100"/>
      <c r="I393" s="75"/>
      <c r="J393" s="68"/>
      <c r="K393" s="68"/>
      <c r="L393" s="68"/>
      <c r="M393" s="68"/>
      <c r="N393" s="114"/>
      <c r="O393" s="34"/>
      <c r="P393" s="34"/>
      <c r="Q393" s="2">
        <v>15</v>
      </c>
      <c r="R393" s="2">
        <f t="shared" ref="R393:R398" si="1048">T393-Q393</f>
        <v>-15</v>
      </c>
      <c r="S393" s="2"/>
      <c r="T393" s="2"/>
      <c r="U393" s="2">
        <f t="shared" ref="U393" si="1049">0.098*J396*M396*0.5*R393</f>
        <v>0</v>
      </c>
      <c r="V393" s="10">
        <f t="shared" ref="V393" si="1050">0.098*J396*M396*Q393</f>
        <v>0</v>
      </c>
      <c r="W393" s="2">
        <f t="shared" ref="W393" si="1051">0.098*J396*M396*(S393-T393)</f>
        <v>0</v>
      </c>
      <c r="X393" s="84"/>
      <c r="Y393" s="82"/>
      <c r="Z393" s="125"/>
    </row>
    <row r="394" spans="1:26" x14ac:dyDescent="0.2">
      <c r="A394" s="101"/>
      <c r="B394" s="102"/>
      <c r="C394" s="102"/>
      <c r="D394" s="102"/>
      <c r="E394" s="102"/>
      <c r="F394" s="102"/>
      <c r="G394" s="102"/>
      <c r="H394" s="103"/>
      <c r="I394" s="75"/>
      <c r="J394" s="68"/>
      <c r="K394" s="68"/>
      <c r="L394" s="68"/>
      <c r="M394" s="68"/>
      <c r="N394" s="114"/>
      <c r="O394" s="34"/>
      <c r="P394" s="34"/>
      <c r="Q394" s="2">
        <f t="shared" ref="Q394:Q398" si="1052">Q393-2</f>
        <v>13</v>
      </c>
      <c r="R394" s="2">
        <f t="shared" si="1048"/>
        <v>-13</v>
      </c>
      <c r="S394" s="2"/>
      <c r="T394" s="2"/>
      <c r="U394" s="2">
        <f t="shared" ref="U394" si="1053">0.098*J396*M396*0.5*R394</f>
        <v>0</v>
      </c>
      <c r="V394" s="10">
        <f t="shared" ref="V394" si="1054">0.098*J396*M396*Q394</f>
        <v>0</v>
      </c>
      <c r="W394" s="2">
        <f t="shared" ref="W394" si="1055">0.098*J396*M396*(S394-T394)</f>
        <v>0</v>
      </c>
      <c r="X394" s="84"/>
      <c r="Y394" s="82"/>
      <c r="Z394" s="125"/>
    </row>
    <row r="395" spans="1:26" x14ac:dyDescent="0.2">
      <c r="A395" s="101"/>
      <c r="B395" s="102"/>
      <c r="C395" s="102"/>
      <c r="D395" s="102"/>
      <c r="E395" s="102"/>
      <c r="F395" s="102"/>
      <c r="G395" s="102"/>
      <c r="H395" s="103"/>
      <c r="I395" s="75"/>
      <c r="J395" s="69"/>
      <c r="K395" s="69"/>
      <c r="L395" s="69"/>
      <c r="M395" s="69"/>
      <c r="N395" s="114"/>
      <c r="O395" s="34"/>
      <c r="P395" s="34"/>
      <c r="Q395" s="2">
        <f t="shared" si="1052"/>
        <v>11</v>
      </c>
      <c r="R395" s="2">
        <f t="shared" si="1048"/>
        <v>-11</v>
      </c>
      <c r="S395" s="2"/>
      <c r="T395" s="2"/>
      <c r="U395" s="2">
        <f t="shared" ref="U395" si="1056">0.098*J396*M396*0.5*R395</f>
        <v>0</v>
      </c>
      <c r="V395" s="10">
        <f t="shared" ref="V395" si="1057">0.098*J396*M396*Q395</f>
        <v>0</v>
      </c>
      <c r="W395" s="2">
        <f t="shared" ref="W395" si="1058">0.098*J396*M396*(S395-T395)</f>
        <v>0</v>
      </c>
      <c r="X395" s="84"/>
      <c r="Y395" s="82"/>
      <c r="Z395" s="125"/>
    </row>
    <row r="396" spans="1:26" x14ac:dyDescent="0.2">
      <c r="A396" s="101"/>
      <c r="B396" s="102"/>
      <c r="C396" s="102"/>
      <c r="D396" s="102"/>
      <c r="E396" s="102"/>
      <c r="F396" s="102"/>
      <c r="G396" s="102"/>
      <c r="H396" s="103"/>
      <c r="I396" s="75"/>
      <c r="J396" s="86">
        <f t="shared" ref="J396" si="1059">(9*F392)/1000</f>
        <v>-0.79815599999999998</v>
      </c>
      <c r="K396" s="89"/>
      <c r="L396" s="92"/>
      <c r="M396" s="92"/>
      <c r="N396" s="114"/>
      <c r="O396" s="34"/>
      <c r="P396" s="34"/>
      <c r="Q396" s="2">
        <f t="shared" si="1052"/>
        <v>9</v>
      </c>
      <c r="R396" s="2">
        <f t="shared" si="1048"/>
        <v>-9</v>
      </c>
      <c r="S396" s="2"/>
      <c r="T396" s="2"/>
      <c r="U396" s="2">
        <f t="shared" ref="U396" si="1060">0.098*J396*M396*0.5*R396</f>
        <v>0</v>
      </c>
      <c r="V396" s="10">
        <f t="shared" ref="V396" si="1061">0.098*J396*M396*Q396</f>
        <v>0</v>
      </c>
      <c r="W396" s="2">
        <f t="shared" ref="W396" si="1062">0.098*J396*M396*(S396-T396)</f>
        <v>0</v>
      </c>
      <c r="X396" s="84"/>
      <c r="Y396" s="82"/>
      <c r="Z396" s="101">
        <f t="shared" ref="Z396" si="1063">_xlfn.STDEV.S(R393:R398)</f>
        <v>3.7416573867739413</v>
      </c>
    </row>
    <row r="397" spans="1:26" x14ac:dyDescent="0.2">
      <c r="A397" s="101"/>
      <c r="B397" s="102"/>
      <c r="C397" s="102"/>
      <c r="D397" s="102"/>
      <c r="E397" s="102"/>
      <c r="F397" s="102"/>
      <c r="G397" s="102"/>
      <c r="H397" s="103"/>
      <c r="I397" s="75"/>
      <c r="J397" s="87"/>
      <c r="K397" s="90"/>
      <c r="L397" s="93"/>
      <c r="M397" s="93"/>
      <c r="N397" s="114"/>
      <c r="O397" s="34"/>
      <c r="P397" s="34"/>
      <c r="Q397" s="2">
        <f t="shared" si="1052"/>
        <v>7</v>
      </c>
      <c r="R397" s="2">
        <f t="shared" si="1048"/>
        <v>-7</v>
      </c>
      <c r="S397" s="2"/>
      <c r="T397" s="2"/>
      <c r="U397" s="2">
        <f t="shared" ref="U397" si="1064">0.098*J396*M396*0.5*R397</f>
        <v>0</v>
      </c>
      <c r="V397" s="10">
        <f t="shared" ref="V397" si="1065">0.098*J396*M396*Q397</f>
        <v>0</v>
      </c>
      <c r="W397" s="2">
        <f t="shared" ref="W397" si="1066">0.098*J396*M396*(S397-T397)</f>
        <v>0</v>
      </c>
      <c r="X397" s="84"/>
      <c r="Y397" s="82"/>
      <c r="Z397" s="101"/>
    </row>
    <row r="398" spans="1:26" ht="17" thickBot="1" x14ac:dyDescent="0.25">
      <c r="A398" s="104"/>
      <c r="B398" s="105"/>
      <c r="C398" s="105"/>
      <c r="D398" s="105"/>
      <c r="E398" s="105"/>
      <c r="F398" s="105"/>
      <c r="G398" s="105"/>
      <c r="H398" s="106"/>
      <c r="I398" s="117"/>
      <c r="J398" s="88"/>
      <c r="K398" s="91"/>
      <c r="L398" s="94"/>
      <c r="M398" s="94"/>
      <c r="N398" s="115"/>
      <c r="O398" s="35"/>
      <c r="P398" s="35"/>
      <c r="Q398" s="20">
        <f t="shared" si="1052"/>
        <v>5</v>
      </c>
      <c r="R398" s="2">
        <f t="shared" si="1048"/>
        <v>-5</v>
      </c>
      <c r="S398" s="20"/>
      <c r="T398" s="20"/>
      <c r="U398" s="20">
        <f t="shared" ref="U398" si="1067">0.098*J396*M396*0.5*R398</f>
        <v>0</v>
      </c>
      <c r="V398" s="21">
        <f t="shared" ref="V398" si="1068">0.098*J396*M396*Q398</f>
        <v>0</v>
      </c>
      <c r="W398" s="20">
        <f t="shared" ref="W398" si="1069">0.098*J396*M396*(S398-T398)</f>
        <v>0</v>
      </c>
      <c r="X398" s="85"/>
      <c r="Y398" s="83"/>
      <c r="Z398" s="101"/>
    </row>
    <row r="399" spans="1:26" x14ac:dyDescent="0.2">
      <c r="A399" s="107" t="s">
        <v>8</v>
      </c>
      <c r="B399" s="110" t="s">
        <v>3</v>
      </c>
      <c r="C399" s="110" t="s">
        <v>7</v>
      </c>
      <c r="D399" s="110" t="s">
        <v>9</v>
      </c>
      <c r="E399" s="71" t="s">
        <v>11</v>
      </c>
      <c r="F399" s="71" t="s">
        <v>10</v>
      </c>
      <c r="G399" s="71" t="s">
        <v>12</v>
      </c>
      <c r="H399" s="71" t="s">
        <v>32</v>
      </c>
      <c r="I399" s="74" t="s">
        <v>14</v>
      </c>
      <c r="J399" s="67" t="s">
        <v>31</v>
      </c>
      <c r="K399" s="67" t="s">
        <v>33</v>
      </c>
      <c r="L399" s="67" t="s">
        <v>17</v>
      </c>
      <c r="M399" s="67" t="s">
        <v>0</v>
      </c>
      <c r="N399" s="113" t="s">
        <v>16</v>
      </c>
      <c r="O399" s="4" t="s">
        <v>6</v>
      </c>
      <c r="P399" s="4" t="s">
        <v>34</v>
      </c>
      <c r="Q399" s="17" t="s">
        <v>2</v>
      </c>
      <c r="R399" s="17" t="s">
        <v>1</v>
      </c>
      <c r="S399" s="17" t="s">
        <v>25</v>
      </c>
      <c r="T399" s="17" t="s">
        <v>26</v>
      </c>
      <c r="U399" s="18" t="s">
        <v>20</v>
      </c>
      <c r="V399" s="18" t="s">
        <v>22</v>
      </c>
      <c r="W399" s="18" t="s">
        <v>24</v>
      </c>
      <c r="X399" s="77" t="s">
        <v>19</v>
      </c>
      <c r="Y399" s="79" t="s">
        <v>23</v>
      </c>
      <c r="Z399" s="125" t="s">
        <v>39</v>
      </c>
    </row>
    <row r="400" spans="1:26" x14ac:dyDescent="0.2">
      <c r="A400" s="108"/>
      <c r="B400" s="111"/>
      <c r="C400" s="111"/>
      <c r="D400" s="111"/>
      <c r="E400" s="72"/>
      <c r="F400" s="72"/>
      <c r="G400" s="72"/>
      <c r="H400" s="72"/>
      <c r="I400" s="75"/>
      <c r="J400" s="68"/>
      <c r="K400" s="68"/>
      <c r="L400" s="68"/>
      <c r="M400" s="68"/>
      <c r="N400" s="114"/>
      <c r="O400" s="34"/>
      <c r="P400" s="34"/>
      <c r="Q400" s="2">
        <v>15</v>
      </c>
      <c r="R400" s="2">
        <f t="shared" ref="R400:R405" si="1070">T400-Q400</f>
        <v>-15</v>
      </c>
      <c r="S400" s="2"/>
      <c r="T400" s="2"/>
      <c r="U400" s="9">
        <f t="shared" ref="U400" si="1071">0.098*J403*M403*0.5*R400</f>
        <v>0</v>
      </c>
      <c r="V400" s="9">
        <f t="shared" ref="V400" si="1072">0.098*J403*M403*Q400</f>
        <v>0</v>
      </c>
      <c r="W400" s="8">
        <f t="shared" ref="W400" si="1073">0.098*J403*M403*(S400-T400)</f>
        <v>0</v>
      </c>
      <c r="X400" s="78"/>
      <c r="Y400" s="80"/>
      <c r="Z400" s="125"/>
    </row>
    <row r="401" spans="1:26" x14ac:dyDescent="0.2">
      <c r="A401" s="108"/>
      <c r="B401" s="111"/>
      <c r="C401" s="111"/>
      <c r="D401" s="111"/>
      <c r="E401" s="72"/>
      <c r="F401" s="72"/>
      <c r="G401" s="72"/>
      <c r="H401" s="72"/>
      <c r="I401" s="75"/>
      <c r="J401" s="68"/>
      <c r="K401" s="68"/>
      <c r="L401" s="68"/>
      <c r="M401" s="68"/>
      <c r="N401" s="114"/>
      <c r="O401" s="34"/>
      <c r="P401" s="34"/>
      <c r="Q401" s="2">
        <f t="shared" ref="Q401:Q405" si="1074">Q400-2</f>
        <v>13</v>
      </c>
      <c r="R401" s="2">
        <f t="shared" si="1070"/>
        <v>-13</v>
      </c>
      <c r="S401" s="2"/>
      <c r="T401" s="2"/>
      <c r="U401" s="9">
        <f t="shared" ref="U401" si="1075">0.098*J403*M403*0.5*R401</f>
        <v>0</v>
      </c>
      <c r="V401" s="9">
        <f t="shared" ref="V401" si="1076">0.098*J403*M403*Q401</f>
        <v>0</v>
      </c>
      <c r="W401" s="8">
        <f t="shared" ref="W401" si="1077">0.098*J403*M403*(S401-T401)</f>
        <v>0</v>
      </c>
      <c r="X401" s="23"/>
      <c r="Y401" s="81"/>
      <c r="Z401" s="125"/>
    </row>
    <row r="402" spans="1:26" x14ac:dyDescent="0.2">
      <c r="A402" s="108"/>
      <c r="B402" s="111"/>
      <c r="C402" s="111"/>
      <c r="D402" s="111"/>
      <c r="E402" s="72"/>
      <c r="F402" s="72"/>
      <c r="G402" s="72"/>
      <c r="H402" s="72"/>
      <c r="I402" s="75"/>
      <c r="J402" s="69"/>
      <c r="K402" s="69"/>
      <c r="L402" s="69"/>
      <c r="M402" s="69"/>
      <c r="N402" s="114"/>
      <c r="O402" s="34"/>
      <c r="P402" s="34"/>
      <c r="Q402" s="2">
        <f t="shared" si="1074"/>
        <v>11</v>
      </c>
      <c r="R402" s="2">
        <f t="shared" si="1070"/>
        <v>-11</v>
      </c>
      <c r="S402" s="2"/>
      <c r="T402" s="2"/>
      <c r="U402" s="9">
        <f t="shared" ref="U402" si="1078">0.098*J403*M403*0.5*R402</f>
        <v>0</v>
      </c>
      <c r="V402" s="9">
        <f t="shared" ref="V402" si="1079">0.098*J403*M403*Q402</f>
        <v>0</v>
      </c>
      <c r="W402" s="8">
        <f t="shared" ref="W402" si="1080">0.098*J403*M403*(S402-T402)</f>
        <v>0</v>
      </c>
      <c r="X402" s="84"/>
      <c r="Y402" s="82"/>
      <c r="Z402" s="125"/>
    </row>
    <row r="403" spans="1:26" x14ac:dyDescent="0.2">
      <c r="A403" s="108"/>
      <c r="B403" s="111"/>
      <c r="C403" s="111"/>
      <c r="D403" s="111"/>
      <c r="E403" s="72"/>
      <c r="F403" s="72"/>
      <c r="G403" s="72"/>
      <c r="H403" s="72"/>
      <c r="I403" s="75"/>
      <c r="J403" s="86">
        <f t="shared" ref="J403" si="1081">(7*F406)/1000</f>
        <v>-0.62078800000000001</v>
      </c>
      <c r="K403" s="89"/>
      <c r="L403" s="92"/>
      <c r="M403" s="92"/>
      <c r="N403" s="114"/>
      <c r="O403" s="34"/>
      <c r="P403" s="34"/>
      <c r="Q403" s="2">
        <f t="shared" si="1074"/>
        <v>9</v>
      </c>
      <c r="R403" s="2">
        <f t="shared" si="1070"/>
        <v>-9</v>
      </c>
      <c r="S403" s="2"/>
      <c r="T403" s="2"/>
      <c r="U403" s="9">
        <f t="shared" ref="U403" si="1082">0.098*J403*M403*0.5*R403</f>
        <v>0</v>
      </c>
      <c r="V403" s="9">
        <f t="shared" ref="V403" si="1083">0.098*J403*M403*Q403</f>
        <v>0</v>
      </c>
      <c r="W403" s="8">
        <f t="shared" ref="W403" si="1084">0.098*J403*M403*(S403-T403)</f>
        <v>0</v>
      </c>
      <c r="X403" s="84"/>
      <c r="Y403" s="82"/>
      <c r="Z403" s="101">
        <f t="shared" ref="Z403" si="1085">_xlfn.STDEV.S(R400:R405)</f>
        <v>3.7416573867739413</v>
      </c>
    </row>
    <row r="404" spans="1:26" x14ac:dyDescent="0.2">
      <c r="A404" s="108"/>
      <c r="B404" s="111"/>
      <c r="C404" s="111"/>
      <c r="D404" s="111"/>
      <c r="E404" s="72"/>
      <c r="F404" s="72"/>
      <c r="G404" s="72"/>
      <c r="H404" s="72"/>
      <c r="I404" s="75"/>
      <c r="J404" s="87"/>
      <c r="K404" s="90"/>
      <c r="L404" s="93"/>
      <c r="M404" s="93"/>
      <c r="N404" s="114"/>
      <c r="O404" s="34"/>
      <c r="P404" s="34"/>
      <c r="Q404" s="2">
        <f t="shared" si="1074"/>
        <v>7</v>
      </c>
      <c r="R404" s="2">
        <f t="shared" si="1070"/>
        <v>-7</v>
      </c>
      <c r="S404" s="2"/>
      <c r="T404" s="2"/>
      <c r="U404" s="9">
        <f t="shared" ref="U404" si="1086">0.098*J403*M403*0.5*R404</f>
        <v>0</v>
      </c>
      <c r="V404" s="9">
        <f t="shared" ref="V404" si="1087">0.098*J403*M403*Q404</f>
        <v>0</v>
      </c>
      <c r="W404" s="8">
        <f t="shared" ref="W404" si="1088">0.098*J403*M403*(S404-T404)</f>
        <v>0</v>
      </c>
      <c r="X404" s="84"/>
      <c r="Y404" s="82"/>
      <c r="Z404" s="101"/>
    </row>
    <row r="405" spans="1:26" ht="17" thickBot="1" x14ac:dyDescent="0.25">
      <c r="A405" s="109"/>
      <c r="B405" s="112"/>
      <c r="C405" s="112"/>
      <c r="D405" s="112"/>
      <c r="E405" s="73"/>
      <c r="F405" s="73"/>
      <c r="G405" s="73"/>
      <c r="H405" s="73"/>
      <c r="I405" s="76"/>
      <c r="J405" s="97"/>
      <c r="K405" s="96"/>
      <c r="L405" s="95"/>
      <c r="M405" s="95"/>
      <c r="N405" s="114"/>
      <c r="O405" s="34"/>
      <c r="P405" s="34"/>
      <c r="Q405" s="2">
        <f t="shared" si="1074"/>
        <v>5</v>
      </c>
      <c r="R405" s="2">
        <f t="shared" si="1070"/>
        <v>-5</v>
      </c>
      <c r="S405" s="2"/>
      <c r="T405" s="2"/>
      <c r="U405" s="9">
        <f t="shared" ref="U405" si="1089">0.098*J403*M403*0.5*R405</f>
        <v>0</v>
      </c>
      <c r="V405" s="9">
        <f t="shared" ref="V405" si="1090">0.098*J403*M403*Q405</f>
        <v>0</v>
      </c>
      <c r="W405" s="8">
        <f t="shared" ref="W405" si="1091">0.098*J403*M403*(S405-T405)</f>
        <v>0</v>
      </c>
      <c r="X405" s="84"/>
      <c r="Y405" s="82"/>
      <c r="Z405" s="101"/>
    </row>
    <row r="406" spans="1:26" x14ac:dyDescent="0.2">
      <c r="A406" s="19">
        <f t="shared" si="953"/>
        <v>28</v>
      </c>
      <c r="B406" s="3" t="s">
        <v>5</v>
      </c>
      <c r="C406" s="3"/>
      <c r="D406" s="3"/>
      <c r="E406" s="3"/>
      <c r="F406" s="3">
        <f t="shared" ref="F406" si="1092">IF(B406="M", 50 + 0.91*(D406-152.4), IF(B406="F", 45.5 + 0.91*(D406-152.4), ""))</f>
        <v>-88.683999999999997</v>
      </c>
      <c r="G406" s="3"/>
      <c r="H406" s="3" t="e">
        <f t="shared" ref="H406" si="1093">E406/(D406*10^-2)^2</f>
        <v>#DIV/0!</v>
      </c>
      <c r="I406" s="116" t="s">
        <v>15</v>
      </c>
      <c r="J406" s="70" t="s">
        <v>31</v>
      </c>
      <c r="K406" s="70" t="s">
        <v>33</v>
      </c>
      <c r="L406" s="70" t="s">
        <v>17</v>
      </c>
      <c r="M406" s="70" t="s">
        <v>0</v>
      </c>
      <c r="N406" s="114"/>
      <c r="O406" s="4" t="s">
        <v>6</v>
      </c>
      <c r="P406" s="4" t="s">
        <v>34</v>
      </c>
      <c r="Q406" s="6" t="s">
        <v>2</v>
      </c>
      <c r="R406" s="17" t="s">
        <v>1</v>
      </c>
      <c r="S406" s="17" t="s">
        <v>25</v>
      </c>
      <c r="T406" s="17" t="s">
        <v>26</v>
      </c>
      <c r="U406" s="7" t="s">
        <v>21</v>
      </c>
      <c r="V406" s="7" t="s">
        <v>22</v>
      </c>
      <c r="W406" s="7" t="s">
        <v>24</v>
      </c>
      <c r="X406" s="84"/>
      <c r="Y406" s="82"/>
      <c r="Z406" s="125" t="s">
        <v>39</v>
      </c>
    </row>
    <row r="407" spans="1:26" x14ac:dyDescent="0.2">
      <c r="A407" s="98"/>
      <c r="B407" s="99"/>
      <c r="C407" s="99"/>
      <c r="D407" s="99"/>
      <c r="E407" s="99"/>
      <c r="F407" s="99"/>
      <c r="G407" s="99"/>
      <c r="H407" s="100"/>
      <c r="I407" s="75"/>
      <c r="J407" s="68"/>
      <c r="K407" s="68"/>
      <c r="L407" s="68"/>
      <c r="M407" s="68"/>
      <c r="N407" s="114"/>
      <c r="O407" s="34"/>
      <c r="P407" s="34"/>
      <c r="Q407" s="2">
        <v>15</v>
      </c>
      <c r="R407" s="2">
        <f t="shared" ref="R407:R412" si="1094">T407-Q407</f>
        <v>-15</v>
      </c>
      <c r="S407" s="2"/>
      <c r="T407" s="2"/>
      <c r="U407" s="2">
        <f t="shared" ref="U407" si="1095">0.098*J410*M410*0.5*R407</f>
        <v>0</v>
      </c>
      <c r="V407" s="10">
        <f t="shared" ref="V407" si="1096">0.098*J410*M410*Q407</f>
        <v>0</v>
      </c>
      <c r="W407" s="2">
        <f t="shared" ref="W407" si="1097">0.098*J410*M410*(S407-T407)</f>
        <v>0</v>
      </c>
      <c r="X407" s="84"/>
      <c r="Y407" s="82"/>
      <c r="Z407" s="125"/>
    </row>
    <row r="408" spans="1:26" x14ac:dyDescent="0.2">
      <c r="A408" s="101"/>
      <c r="B408" s="102"/>
      <c r="C408" s="102"/>
      <c r="D408" s="102"/>
      <c r="E408" s="102"/>
      <c r="F408" s="102"/>
      <c r="G408" s="102"/>
      <c r="H408" s="103"/>
      <c r="I408" s="75"/>
      <c r="J408" s="68"/>
      <c r="K408" s="68"/>
      <c r="L408" s="68"/>
      <c r="M408" s="68"/>
      <c r="N408" s="114"/>
      <c r="O408" s="34"/>
      <c r="P408" s="34"/>
      <c r="Q408" s="2">
        <f t="shared" ref="Q408:Q412" si="1098">Q407-2</f>
        <v>13</v>
      </c>
      <c r="R408" s="2">
        <f t="shared" si="1094"/>
        <v>-13</v>
      </c>
      <c r="S408" s="2"/>
      <c r="T408" s="2"/>
      <c r="U408" s="2">
        <f t="shared" ref="U408" si="1099">0.098*J410*M410*0.5*R408</f>
        <v>0</v>
      </c>
      <c r="V408" s="10">
        <f t="shared" ref="V408" si="1100">0.098*J410*M410*Q408</f>
        <v>0</v>
      </c>
      <c r="W408" s="2">
        <f t="shared" ref="W408" si="1101">0.098*J410*M410*(S408-T408)</f>
        <v>0</v>
      </c>
      <c r="X408" s="84"/>
      <c r="Y408" s="82"/>
      <c r="Z408" s="125"/>
    </row>
    <row r="409" spans="1:26" x14ac:dyDescent="0.2">
      <c r="A409" s="101"/>
      <c r="B409" s="102"/>
      <c r="C409" s="102"/>
      <c r="D409" s="102"/>
      <c r="E409" s="102"/>
      <c r="F409" s="102"/>
      <c r="G409" s="102"/>
      <c r="H409" s="103"/>
      <c r="I409" s="75"/>
      <c r="J409" s="69"/>
      <c r="K409" s="69"/>
      <c r="L409" s="69"/>
      <c r="M409" s="69"/>
      <c r="N409" s="114"/>
      <c r="O409" s="34"/>
      <c r="P409" s="34"/>
      <c r="Q409" s="2">
        <f t="shared" si="1098"/>
        <v>11</v>
      </c>
      <c r="R409" s="2">
        <f t="shared" si="1094"/>
        <v>-11</v>
      </c>
      <c r="S409" s="2"/>
      <c r="T409" s="2"/>
      <c r="U409" s="2">
        <f t="shared" ref="U409" si="1102">0.098*J410*M410*0.5*R409</f>
        <v>0</v>
      </c>
      <c r="V409" s="10">
        <f t="shared" ref="V409" si="1103">0.098*J410*M410*Q409</f>
        <v>0</v>
      </c>
      <c r="W409" s="2">
        <f t="shared" ref="W409" si="1104">0.098*J410*M410*(S409-T409)</f>
        <v>0</v>
      </c>
      <c r="X409" s="84"/>
      <c r="Y409" s="82"/>
      <c r="Z409" s="125"/>
    </row>
    <row r="410" spans="1:26" x14ac:dyDescent="0.2">
      <c r="A410" s="101"/>
      <c r="B410" s="102"/>
      <c r="C410" s="102"/>
      <c r="D410" s="102"/>
      <c r="E410" s="102"/>
      <c r="F410" s="102"/>
      <c r="G410" s="102"/>
      <c r="H410" s="103"/>
      <c r="I410" s="75"/>
      <c r="J410" s="86">
        <f t="shared" ref="J410" si="1105">(9*F406)/1000</f>
        <v>-0.79815599999999998</v>
      </c>
      <c r="K410" s="89"/>
      <c r="L410" s="92"/>
      <c r="M410" s="92"/>
      <c r="N410" s="114"/>
      <c r="O410" s="34"/>
      <c r="P410" s="34"/>
      <c r="Q410" s="2">
        <f t="shared" si="1098"/>
        <v>9</v>
      </c>
      <c r="R410" s="2">
        <f t="shared" si="1094"/>
        <v>-9</v>
      </c>
      <c r="S410" s="2"/>
      <c r="T410" s="2"/>
      <c r="U410" s="2">
        <f t="shared" ref="U410" si="1106">0.098*J410*M410*0.5*R410</f>
        <v>0</v>
      </c>
      <c r="V410" s="10">
        <f t="shared" ref="V410" si="1107">0.098*J410*M410*Q410</f>
        <v>0</v>
      </c>
      <c r="W410" s="2">
        <f t="shared" ref="W410" si="1108">0.098*J410*M410*(S410-T410)</f>
        <v>0</v>
      </c>
      <c r="X410" s="84"/>
      <c r="Y410" s="82"/>
      <c r="Z410" s="101">
        <f t="shared" ref="Z410" si="1109">_xlfn.STDEV.S(R407:R412)</f>
        <v>3.7416573867739413</v>
      </c>
    </row>
    <row r="411" spans="1:26" x14ac:dyDescent="0.2">
      <c r="A411" s="101"/>
      <c r="B411" s="102"/>
      <c r="C411" s="102"/>
      <c r="D411" s="102"/>
      <c r="E411" s="102"/>
      <c r="F411" s="102"/>
      <c r="G411" s="102"/>
      <c r="H411" s="103"/>
      <c r="I411" s="75"/>
      <c r="J411" s="87"/>
      <c r="K411" s="90"/>
      <c r="L411" s="93"/>
      <c r="M411" s="93"/>
      <c r="N411" s="114"/>
      <c r="O411" s="34"/>
      <c r="P411" s="34"/>
      <c r="Q411" s="2">
        <f t="shared" si="1098"/>
        <v>7</v>
      </c>
      <c r="R411" s="2">
        <f t="shared" si="1094"/>
        <v>-7</v>
      </c>
      <c r="S411" s="2"/>
      <c r="T411" s="2"/>
      <c r="U411" s="2">
        <f t="shared" ref="U411" si="1110">0.098*J410*M410*0.5*R411</f>
        <v>0</v>
      </c>
      <c r="V411" s="10">
        <f t="shared" ref="V411" si="1111">0.098*J410*M410*Q411</f>
        <v>0</v>
      </c>
      <c r="W411" s="2">
        <f t="shared" ref="W411" si="1112">0.098*J410*M410*(S411-T411)</f>
        <v>0</v>
      </c>
      <c r="X411" s="84"/>
      <c r="Y411" s="82"/>
      <c r="Z411" s="101"/>
    </row>
    <row r="412" spans="1:26" ht="17" thickBot="1" x14ac:dyDescent="0.25">
      <c r="A412" s="104"/>
      <c r="B412" s="105"/>
      <c r="C412" s="105"/>
      <c r="D412" s="105"/>
      <c r="E412" s="105"/>
      <c r="F412" s="105"/>
      <c r="G412" s="105"/>
      <c r="H412" s="106"/>
      <c r="I412" s="117"/>
      <c r="J412" s="88"/>
      <c r="K412" s="91"/>
      <c r="L412" s="94"/>
      <c r="M412" s="94"/>
      <c r="N412" s="115"/>
      <c r="O412" s="35"/>
      <c r="P412" s="35"/>
      <c r="Q412" s="20">
        <f t="shared" si="1098"/>
        <v>5</v>
      </c>
      <c r="R412" s="2">
        <f t="shared" si="1094"/>
        <v>-5</v>
      </c>
      <c r="S412" s="20"/>
      <c r="T412" s="20"/>
      <c r="U412" s="20">
        <f t="shared" ref="U412" si="1113">0.098*J410*M410*0.5*R412</f>
        <v>0</v>
      </c>
      <c r="V412" s="21">
        <f t="shared" ref="V412" si="1114">0.098*J410*M410*Q412</f>
        <v>0</v>
      </c>
      <c r="W412" s="20">
        <f t="shared" ref="W412" si="1115">0.098*J410*M410*(S412-T412)</f>
        <v>0</v>
      </c>
      <c r="X412" s="85"/>
      <c r="Y412" s="83"/>
      <c r="Z412" s="101"/>
    </row>
    <row r="413" spans="1:26" x14ac:dyDescent="0.2">
      <c r="A413" s="107" t="s">
        <v>8</v>
      </c>
      <c r="B413" s="110" t="s">
        <v>3</v>
      </c>
      <c r="C413" s="110" t="s">
        <v>7</v>
      </c>
      <c r="D413" s="110" t="s">
        <v>9</v>
      </c>
      <c r="E413" s="71" t="s">
        <v>11</v>
      </c>
      <c r="F413" s="71" t="s">
        <v>10</v>
      </c>
      <c r="G413" s="71" t="s">
        <v>12</v>
      </c>
      <c r="H413" s="71" t="s">
        <v>32</v>
      </c>
      <c r="I413" s="74" t="s">
        <v>14</v>
      </c>
      <c r="J413" s="67" t="s">
        <v>31</v>
      </c>
      <c r="K413" s="67" t="s">
        <v>33</v>
      </c>
      <c r="L413" s="67" t="s">
        <v>17</v>
      </c>
      <c r="M413" s="67" t="s">
        <v>0</v>
      </c>
      <c r="N413" s="113" t="s">
        <v>16</v>
      </c>
      <c r="O413" s="4" t="s">
        <v>6</v>
      </c>
      <c r="P413" s="4" t="s">
        <v>34</v>
      </c>
      <c r="Q413" s="17" t="s">
        <v>2</v>
      </c>
      <c r="R413" s="17" t="s">
        <v>1</v>
      </c>
      <c r="S413" s="17" t="s">
        <v>25</v>
      </c>
      <c r="T413" s="17" t="s">
        <v>26</v>
      </c>
      <c r="U413" s="18" t="s">
        <v>20</v>
      </c>
      <c r="V413" s="18" t="s">
        <v>22</v>
      </c>
      <c r="W413" s="18" t="s">
        <v>24</v>
      </c>
      <c r="X413" s="77" t="s">
        <v>19</v>
      </c>
      <c r="Y413" s="79" t="s">
        <v>23</v>
      </c>
      <c r="Z413" s="125" t="s">
        <v>39</v>
      </c>
    </row>
    <row r="414" spans="1:26" x14ac:dyDescent="0.2">
      <c r="A414" s="108"/>
      <c r="B414" s="111"/>
      <c r="C414" s="111"/>
      <c r="D414" s="111"/>
      <c r="E414" s="72"/>
      <c r="F414" s="72"/>
      <c r="G414" s="72"/>
      <c r="H414" s="72"/>
      <c r="I414" s="75"/>
      <c r="J414" s="68"/>
      <c r="K414" s="68"/>
      <c r="L414" s="68"/>
      <c r="M414" s="68"/>
      <c r="N414" s="114"/>
      <c r="O414" s="34"/>
      <c r="P414" s="34"/>
      <c r="Q414" s="2">
        <v>15</v>
      </c>
      <c r="R414" s="2">
        <f t="shared" ref="R414:R419" si="1116">T414-Q414</f>
        <v>-15</v>
      </c>
      <c r="S414" s="2"/>
      <c r="T414" s="2"/>
      <c r="U414" s="9">
        <f t="shared" ref="U414" si="1117">0.098*J417*M417*0.5*R414</f>
        <v>0</v>
      </c>
      <c r="V414" s="9">
        <f t="shared" ref="V414" si="1118">0.098*J417*M417*Q414</f>
        <v>0</v>
      </c>
      <c r="W414" s="8">
        <f t="shared" ref="W414" si="1119">0.098*J417*M417*(S414-T414)</f>
        <v>0</v>
      </c>
      <c r="X414" s="78"/>
      <c r="Y414" s="80"/>
      <c r="Z414" s="125"/>
    </row>
    <row r="415" spans="1:26" x14ac:dyDescent="0.2">
      <c r="A415" s="108"/>
      <c r="B415" s="111"/>
      <c r="C415" s="111"/>
      <c r="D415" s="111"/>
      <c r="E415" s="72"/>
      <c r="F415" s="72"/>
      <c r="G415" s="72"/>
      <c r="H415" s="72"/>
      <c r="I415" s="75"/>
      <c r="J415" s="68"/>
      <c r="K415" s="68"/>
      <c r="L415" s="68"/>
      <c r="M415" s="68"/>
      <c r="N415" s="114"/>
      <c r="O415" s="34"/>
      <c r="P415" s="34"/>
      <c r="Q415" s="2">
        <f t="shared" ref="Q415:Q419" si="1120">Q414-2</f>
        <v>13</v>
      </c>
      <c r="R415" s="2">
        <f t="shared" si="1116"/>
        <v>-13</v>
      </c>
      <c r="S415" s="2"/>
      <c r="T415" s="2"/>
      <c r="U415" s="9">
        <f t="shared" ref="U415" si="1121">0.098*J417*M417*0.5*R415</f>
        <v>0</v>
      </c>
      <c r="V415" s="9">
        <f t="shared" ref="V415" si="1122">0.098*J417*M417*Q415</f>
        <v>0</v>
      </c>
      <c r="W415" s="8">
        <f t="shared" ref="W415" si="1123">0.098*J417*M417*(S415-T415)</f>
        <v>0</v>
      </c>
      <c r="X415" s="23"/>
      <c r="Y415" s="81"/>
      <c r="Z415" s="125"/>
    </row>
    <row r="416" spans="1:26" x14ac:dyDescent="0.2">
      <c r="A416" s="108"/>
      <c r="B416" s="111"/>
      <c r="C416" s="111"/>
      <c r="D416" s="111"/>
      <c r="E416" s="72"/>
      <c r="F416" s="72"/>
      <c r="G416" s="72"/>
      <c r="H416" s="72"/>
      <c r="I416" s="75"/>
      <c r="J416" s="69"/>
      <c r="K416" s="69"/>
      <c r="L416" s="69"/>
      <c r="M416" s="69"/>
      <c r="N416" s="114"/>
      <c r="O416" s="34"/>
      <c r="P416" s="34"/>
      <c r="Q416" s="2">
        <f t="shared" si="1120"/>
        <v>11</v>
      </c>
      <c r="R416" s="2">
        <f t="shared" si="1116"/>
        <v>-11</v>
      </c>
      <c r="S416" s="2"/>
      <c r="T416" s="2"/>
      <c r="U416" s="9">
        <f t="shared" ref="U416" si="1124">0.098*J417*M417*0.5*R416</f>
        <v>0</v>
      </c>
      <c r="V416" s="9">
        <f t="shared" ref="V416" si="1125">0.098*J417*M417*Q416</f>
        <v>0</v>
      </c>
      <c r="W416" s="8">
        <f t="shared" ref="W416" si="1126">0.098*J417*M417*(S416-T416)</f>
        <v>0</v>
      </c>
      <c r="X416" s="84"/>
      <c r="Y416" s="82"/>
      <c r="Z416" s="125"/>
    </row>
    <row r="417" spans="1:26" x14ac:dyDescent="0.2">
      <c r="A417" s="108"/>
      <c r="B417" s="111"/>
      <c r="C417" s="111"/>
      <c r="D417" s="111"/>
      <c r="E417" s="72"/>
      <c r="F417" s="72"/>
      <c r="G417" s="72"/>
      <c r="H417" s="72"/>
      <c r="I417" s="75"/>
      <c r="J417" s="86">
        <f t="shared" ref="J417" si="1127">(7*F420)/1000</f>
        <v>-0.62078800000000001</v>
      </c>
      <c r="K417" s="89"/>
      <c r="L417" s="92"/>
      <c r="M417" s="92"/>
      <c r="N417" s="114"/>
      <c r="O417" s="34"/>
      <c r="P417" s="34"/>
      <c r="Q417" s="2">
        <f t="shared" si="1120"/>
        <v>9</v>
      </c>
      <c r="R417" s="2">
        <f t="shared" si="1116"/>
        <v>-9</v>
      </c>
      <c r="S417" s="2"/>
      <c r="T417" s="2"/>
      <c r="U417" s="9">
        <f t="shared" ref="U417" si="1128">0.098*J417*M417*0.5*R417</f>
        <v>0</v>
      </c>
      <c r="V417" s="9">
        <f t="shared" ref="V417" si="1129">0.098*J417*M417*Q417</f>
        <v>0</v>
      </c>
      <c r="W417" s="8">
        <f t="shared" ref="W417" si="1130">0.098*J417*M417*(S417-T417)</f>
        <v>0</v>
      </c>
      <c r="X417" s="84"/>
      <c r="Y417" s="82"/>
      <c r="Z417" s="101">
        <f t="shared" ref="Z417" si="1131">_xlfn.STDEV.S(R414:R419)</f>
        <v>3.7416573867739413</v>
      </c>
    </row>
    <row r="418" spans="1:26" x14ac:dyDescent="0.2">
      <c r="A418" s="108"/>
      <c r="B418" s="111"/>
      <c r="C418" s="111"/>
      <c r="D418" s="111"/>
      <c r="E418" s="72"/>
      <c r="F418" s="72"/>
      <c r="G418" s="72"/>
      <c r="H418" s="72"/>
      <c r="I418" s="75"/>
      <c r="J418" s="87"/>
      <c r="K418" s="90"/>
      <c r="L418" s="93"/>
      <c r="M418" s="93"/>
      <c r="N418" s="114"/>
      <c r="O418" s="34"/>
      <c r="P418" s="34"/>
      <c r="Q418" s="2">
        <f t="shared" si="1120"/>
        <v>7</v>
      </c>
      <c r="R418" s="2">
        <f t="shared" si="1116"/>
        <v>-7</v>
      </c>
      <c r="S418" s="2"/>
      <c r="T418" s="2"/>
      <c r="U418" s="9">
        <f t="shared" ref="U418" si="1132">0.098*J417*M417*0.5*R418</f>
        <v>0</v>
      </c>
      <c r="V418" s="9">
        <f t="shared" ref="V418" si="1133">0.098*J417*M417*Q418</f>
        <v>0</v>
      </c>
      <c r="W418" s="8">
        <f t="shared" ref="W418" si="1134">0.098*J417*M417*(S418-T418)</f>
        <v>0</v>
      </c>
      <c r="X418" s="84"/>
      <c r="Y418" s="82"/>
      <c r="Z418" s="101"/>
    </row>
    <row r="419" spans="1:26" ht="17" thickBot="1" x14ac:dyDescent="0.25">
      <c r="A419" s="109"/>
      <c r="B419" s="112"/>
      <c r="C419" s="112"/>
      <c r="D419" s="112"/>
      <c r="E419" s="73"/>
      <c r="F419" s="73"/>
      <c r="G419" s="73"/>
      <c r="H419" s="73"/>
      <c r="I419" s="76"/>
      <c r="J419" s="97"/>
      <c r="K419" s="96"/>
      <c r="L419" s="95"/>
      <c r="M419" s="95"/>
      <c r="N419" s="114"/>
      <c r="O419" s="34"/>
      <c r="P419" s="34"/>
      <c r="Q419" s="2">
        <f t="shared" si="1120"/>
        <v>5</v>
      </c>
      <c r="R419" s="2">
        <f t="shared" si="1116"/>
        <v>-5</v>
      </c>
      <c r="S419" s="2"/>
      <c r="T419" s="2"/>
      <c r="U419" s="9">
        <f t="shared" ref="U419" si="1135">0.098*J417*M417*0.5*R419</f>
        <v>0</v>
      </c>
      <c r="V419" s="9">
        <f t="shared" ref="V419" si="1136">0.098*J417*M417*Q419</f>
        <v>0</v>
      </c>
      <c r="W419" s="8">
        <f t="shared" ref="W419" si="1137">0.098*J417*M417*(S419-T419)</f>
        <v>0</v>
      </c>
      <c r="X419" s="84"/>
      <c r="Y419" s="82"/>
      <c r="Z419" s="101"/>
    </row>
    <row r="420" spans="1:26" x14ac:dyDescent="0.2">
      <c r="A420" s="19">
        <f t="shared" si="953"/>
        <v>29</v>
      </c>
      <c r="B420" s="3" t="s">
        <v>5</v>
      </c>
      <c r="C420" s="3"/>
      <c r="D420" s="3"/>
      <c r="E420" s="3"/>
      <c r="F420" s="3">
        <f t="shared" ref="F420" si="1138">IF(B420="M", 50 + 0.91*(D420-152.4), IF(B420="F", 45.5 + 0.91*(D420-152.4), ""))</f>
        <v>-88.683999999999997</v>
      </c>
      <c r="G420" s="3"/>
      <c r="H420" s="3" t="e">
        <f t="shared" ref="H420" si="1139">E420/(D420*10^-2)^2</f>
        <v>#DIV/0!</v>
      </c>
      <c r="I420" s="116" t="s">
        <v>15</v>
      </c>
      <c r="J420" s="70" t="s">
        <v>31</v>
      </c>
      <c r="K420" s="70" t="s">
        <v>33</v>
      </c>
      <c r="L420" s="70" t="s">
        <v>17</v>
      </c>
      <c r="M420" s="70" t="s">
        <v>0</v>
      </c>
      <c r="N420" s="114"/>
      <c r="O420" s="4" t="s">
        <v>6</v>
      </c>
      <c r="P420" s="4" t="s">
        <v>34</v>
      </c>
      <c r="Q420" s="6" t="s">
        <v>2</v>
      </c>
      <c r="R420" s="17" t="s">
        <v>1</v>
      </c>
      <c r="S420" s="17" t="s">
        <v>25</v>
      </c>
      <c r="T420" s="17" t="s">
        <v>26</v>
      </c>
      <c r="U420" s="7" t="s">
        <v>21</v>
      </c>
      <c r="V420" s="7" t="s">
        <v>22</v>
      </c>
      <c r="W420" s="7" t="s">
        <v>24</v>
      </c>
      <c r="X420" s="84"/>
      <c r="Y420" s="82"/>
      <c r="Z420" s="125" t="s">
        <v>39</v>
      </c>
    </row>
    <row r="421" spans="1:26" x14ac:dyDescent="0.2">
      <c r="A421" s="98"/>
      <c r="B421" s="99"/>
      <c r="C421" s="99"/>
      <c r="D421" s="99"/>
      <c r="E421" s="99"/>
      <c r="F421" s="99"/>
      <c r="G421" s="99"/>
      <c r="H421" s="100"/>
      <c r="I421" s="75"/>
      <c r="J421" s="68"/>
      <c r="K421" s="68"/>
      <c r="L421" s="68"/>
      <c r="M421" s="68"/>
      <c r="N421" s="114"/>
      <c r="O421" s="34"/>
      <c r="P421" s="34"/>
      <c r="Q421" s="2">
        <v>15</v>
      </c>
      <c r="R421" s="2">
        <f t="shared" ref="R421:R426" si="1140">T421-Q421</f>
        <v>-15</v>
      </c>
      <c r="S421" s="2"/>
      <c r="T421" s="2"/>
      <c r="U421" s="2">
        <f t="shared" ref="U421" si="1141">0.098*J424*M424*0.5*R421</f>
        <v>0</v>
      </c>
      <c r="V421" s="10">
        <f t="shared" ref="V421" si="1142">0.098*J424*M424*Q421</f>
        <v>0</v>
      </c>
      <c r="W421" s="2">
        <f t="shared" ref="W421" si="1143">0.098*J424*M424*(S421-T421)</f>
        <v>0</v>
      </c>
      <c r="X421" s="84"/>
      <c r="Y421" s="82"/>
      <c r="Z421" s="125"/>
    </row>
    <row r="422" spans="1:26" x14ac:dyDescent="0.2">
      <c r="A422" s="101"/>
      <c r="B422" s="102"/>
      <c r="C422" s="102"/>
      <c r="D422" s="102"/>
      <c r="E422" s="102"/>
      <c r="F422" s="102"/>
      <c r="G422" s="102"/>
      <c r="H422" s="103"/>
      <c r="I422" s="75"/>
      <c r="J422" s="68"/>
      <c r="K422" s="68"/>
      <c r="L422" s="68"/>
      <c r="M422" s="68"/>
      <c r="N422" s="114"/>
      <c r="O422" s="34"/>
      <c r="P422" s="34"/>
      <c r="Q422" s="2">
        <f t="shared" ref="Q422:Q426" si="1144">Q421-2</f>
        <v>13</v>
      </c>
      <c r="R422" s="2">
        <f t="shared" si="1140"/>
        <v>-13</v>
      </c>
      <c r="S422" s="2"/>
      <c r="T422" s="2"/>
      <c r="U422" s="2">
        <f t="shared" ref="U422" si="1145">0.098*J424*M424*0.5*R422</f>
        <v>0</v>
      </c>
      <c r="V422" s="10">
        <f t="shared" ref="V422" si="1146">0.098*J424*M424*Q422</f>
        <v>0</v>
      </c>
      <c r="W422" s="2">
        <f t="shared" ref="W422" si="1147">0.098*J424*M424*(S422-T422)</f>
        <v>0</v>
      </c>
      <c r="X422" s="84"/>
      <c r="Y422" s="82"/>
      <c r="Z422" s="125"/>
    </row>
    <row r="423" spans="1:26" x14ac:dyDescent="0.2">
      <c r="A423" s="101"/>
      <c r="B423" s="102"/>
      <c r="C423" s="102"/>
      <c r="D423" s="102"/>
      <c r="E423" s="102"/>
      <c r="F423" s="102"/>
      <c r="G423" s="102"/>
      <c r="H423" s="103"/>
      <c r="I423" s="75"/>
      <c r="J423" s="69"/>
      <c r="K423" s="69"/>
      <c r="L423" s="69"/>
      <c r="M423" s="69"/>
      <c r="N423" s="114"/>
      <c r="O423" s="34"/>
      <c r="P423" s="34"/>
      <c r="Q423" s="2">
        <f t="shared" si="1144"/>
        <v>11</v>
      </c>
      <c r="R423" s="2">
        <f t="shared" si="1140"/>
        <v>-11</v>
      </c>
      <c r="S423" s="2"/>
      <c r="T423" s="2"/>
      <c r="U423" s="2">
        <f t="shared" ref="U423" si="1148">0.098*J424*M424*0.5*R423</f>
        <v>0</v>
      </c>
      <c r="V423" s="10">
        <f t="shared" ref="V423" si="1149">0.098*J424*M424*Q423</f>
        <v>0</v>
      </c>
      <c r="W423" s="2">
        <f t="shared" ref="W423" si="1150">0.098*J424*M424*(S423-T423)</f>
        <v>0</v>
      </c>
      <c r="X423" s="84"/>
      <c r="Y423" s="82"/>
      <c r="Z423" s="125"/>
    </row>
    <row r="424" spans="1:26" x14ac:dyDescent="0.2">
      <c r="A424" s="101"/>
      <c r="B424" s="102"/>
      <c r="C424" s="102"/>
      <c r="D424" s="102"/>
      <c r="E424" s="102"/>
      <c r="F424" s="102"/>
      <c r="G424" s="102"/>
      <c r="H424" s="103"/>
      <c r="I424" s="75"/>
      <c r="J424" s="86">
        <f t="shared" ref="J424" si="1151">(9*F420)/1000</f>
        <v>-0.79815599999999998</v>
      </c>
      <c r="K424" s="89"/>
      <c r="L424" s="92"/>
      <c r="M424" s="92"/>
      <c r="N424" s="114"/>
      <c r="O424" s="34"/>
      <c r="P424" s="34"/>
      <c r="Q424" s="2">
        <f t="shared" si="1144"/>
        <v>9</v>
      </c>
      <c r="R424" s="2">
        <f t="shared" si="1140"/>
        <v>-9</v>
      </c>
      <c r="S424" s="2"/>
      <c r="T424" s="2"/>
      <c r="U424" s="2">
        <f t="shared" ref="U424" si="1152">0.098*J424*M424*0.5*R424</f>
        <v>0</v>
      </c>
      <c r="V424" s="10">
        <f t="shared" ref="V424" si="1153">0.098*J424*M424*Q424</f>
        <v>0</v>
      </c>
      <c r="W424" s="2">
        <f t="shared" ref="W424" si="1154">0.098*J424*M424*(S424-T424)</f>
        <v>0</v>
      </c>
      <c r="X424" s="84"/>
      <c r="Y424" s="82"/>
      <c r="Z424" s="101">
        <f t="shared" ref="Z424" si="1155">_xlfn.STDEV.S(R421:R426)</f>
        <v>3.7416573867739413</v>
      </c>
    </row>
    <row r="425" spans="1:26" x14ac:dyDescent="0.2">
      <c r="A425" s="101"/>
      <c r="B425" s="102"/>
      <c r="C425" s="102"/>
      <c r="D425" s="102"/>
      <c r="E425" s="102"/>
      <c r="F425" s="102"/>
      <c r="G425" s="102"/>
      <c r="H425" s="103"/>
      <c r="I425" s="75"/>
      <c r="J425" s="87"/>
      <c r="K425" s="90"/>
      <c r="L425" s="93"/>
      <c r="M425" s="93"/>
      <c r="N425" s="114"/>
      <c r="O425" s="34"/>
      <c r="P425" s="34"/>
      <c r="Q425" s="2">
        <f t="shared" si="1144"/>
        <v>7</v>
      </c>
      <c r="R425" s="2">
        <f t="shared" si="1140"/>
        <v>-7</v>
      </c>
      <c r="S425" s="2"/>
      <c r="T425" s="2"/>
      <c r="U425" s="2">
        <f t="shared" ref="U425" si="1156">0.098*J424*M424*0.5*R425</f>
        <v>0</v>
      </c>
      <c r="V425" s="10">
        <f t="shared" ref="V425" si="1157">0.098*J424*M424*Q425</f>
        <v>0</v>
      </c>
      <c r="W425" s="2">
        <f t="shared" ref="W425" si="1158">0.098*J424*M424*(S425-T425)</f>
        <v>0</v>
      </c>
      <c r="X425" s="84"/>
      <c r="Y425" s="82"/>
      <c r="Z425" s="101"/>
    </row>
    <row r="426" spans="1:26" ht="17" thickBot="1" x14ac:dyDescent="0.25">
      <c r="A426" s="104"/>
      <c r="B426" s="105"/>
      <c r="C426" s="105"/>
      <c r="D426" s="105"/>
      <c r="E426" s="105"/>
      <c r="F426" s="105"/>
      <c r="G426" s="105"/>
      <c r="H426" s="106"/>
      <c r="I426" s="117"/>
      <c r="J426" s="88"/>
      <c r="K426" s="91"/>
      <c r="L426" s="94"/>
      <c r="M426" s="94"/>
      <c r="N426" s="115"/>
      <c r="O426" s="35"/>
      <c r="P426" s="35"/>
      <c r="Q426" s="20">
        <f t="shared" si="1144"/>
        <v>5</v>
      </c>
      <c r="R426" s="2">
        <f t="shared" si="1140"/>
        <v>-5</v>
      </c>
      <c r="S426" s="20"/>
      <c r="T426" s="20"/>
      <c r="U426" s="20">
        <f t="shared" ref="U426" si="1159">0.098*J424*M424*0.5*R426</f>
        <v>0</v>
      </c>
      <c r="V426" s="21">
        <f t="shared" ref="V426" si="1160">0.098*J424*M424*Q426</f>
        <v>0</v>
      </c>
      <c r="W426" s="20">
        <f t="shared" ref="W426" si="1161">0.098*J424*M424*(S426-T426)</f>
        <v>0</v>
      </c>
      <c r="X426" s="85"/>
      <c r="Y426" s="83"/>
      <c r="Z426" s="101"/>
    </row>
    <row r="427" spans="1:26" x14ac:dyDescent="0.2">
      <c r="A427" s="107" t="s">
        <v>8</v>
      </c>
      <c r="B427" s="110" t="s">
        <v>3</v>
      </c>
      <c r="C427" s="110" t="s">
        <v>7</v>
      </c>
      <c r="D427" s="110" t="s">
        <v>9</v>
      </c>
      <c r="E427" s="71" t="s">
        <v>11</v>
      </c>
      <c r="F427" s="71" t="s">
        <v>10</v>
      </c>
      <c r="G427" s="71" t="s">
        <v>12</v>
      </c>
      <c r="H427" s="71" t="s">
        <v>32</v>
      </c>
      <c r="I427" s="74" t="s">
        <v>14</v>
      </c>
      <c r="J427" s="67" t="s">
        <v>31</v>
      </c>
      <c r="K427" s="67" t="s">
        <v>33</v>
      </c>
      <c r="L427" s="67" t="s">
        <v>17</v>
      </c>
      <c r="M427" s="67" t="s">
        <v>0</v>
      </c>
      <c r="N427" s="113" t="s">
        <v>16</v>
      </c>
      <c r="O427" s="4" t="s">
        <v>6</v>
      </c>
      <c r="P427" s="4" t="s">
        <v>34</v>
      </c>
      <c r="Q427" s="17" t="s">
        <v>2</v>
      </c>
      <c r="R427" s="17" t="s">
        <v>1</v>
      </c>
      <c r="S427" s="17" t="s">
        <v>25</v>
      </c>
      <c r="T427" s="17" t="s">
        <v>26</v>
      </c>
      <c r="U427" s="18" t="s">
        <v>20</v>
      </c>
      <c r="V427" s="18" t="s">
        <v>22</v>
      </c>
      <c r="W427" s="18" t="s">
        <v>24</v>
      </c>
      <c r="X427" s="77" t="s">
        <v>19</v>
      </c>
      <c r="Y427" s="79" t="s">
        <v>23</v>
      </c>
      <c r="Z427" s="125" t="s">
        <v>39</v>
      </c>
    </row>
    <row r="428" spans="1:26" x14ac:dyDescent="0.2">
      <c r="A428" s="108"/>
      <c r="B428" s="111"/>
      <c r="C428" s="111"/>
      <c r="D428" s="111"/>
      <c r="E428" s="72"/>
      <c r="F428" s="72"/>
      <c r="G428" s="72"/>
      <c r="H428" s="72"/>
      <c r="I428" s="75"/>
      <c r="J428" s="68"/>
      <c r="K428" s="68"/>
      <c r="L428" s="68"/>
      <c r="M428" s="68"/>
      <c r="N428" s="114"/>
      <c r="O428" s="34"/>
      <c r="P428" s="34"/>
      <c r="Q428" s="2">
        <v>15</v>
      </c>
      <c r="R428" s="2">
        <f t="shared" ref="R428:R433" si="1162">T428-Q428</f>
        <v>-15</v>
      </c>
      <c r="S428" s="2"/>
      <c r="T428" s="2"/>
      <c r="U428" s="9">
        <f t="shared" ref="U428" si="1163">0.098*J431*M431*0.5*R428</f>
        <v>0</v>
      </c>
      <c r="V428" s="9">
        <f t="shared" ref="V428" si="1164">0.098*J431*M431*Q428</f>
        <v>0</v>
      </c>
      <c r="W428" s="8">
        <f t="shared" ref="W428" si="1165">0.098*J431*M431*(S428-T428)</f>
        <v>0</v>
      </c>
      <c r="X428" s="78"/>
      <c r="Y428" s="80"/>
      <c r="Z428" s="125"/>
    </row>
    <row r="429" spans="1:26" x14ac:dyDescent="0.2">
      <c r="A429" s="108"/>
      <c r="B429" s="111"/>
      <c r="C429" s="111"/>
      <c r="D429" s="111"/>
      <c r="E429" s="72"/>
      <c r="F429" s="72"/>
      <c r="G429" s="72"/>
      <c r="H429" s="72"/>
      <c r="I429" s="75"/>
      <c r="J429" s="68"/>
      <c r="K429" s="68"/>
      <c r="L429" s="68"/>
      <c r="M429" s="68"/>
      <c r="N429" s="114"/>
      <c r="O429" s="34"/>
      <c r="P429" s="34"/>
      <c r="Q429" s="2">
        <f t="shared" ref="Q429:Q433" si="1166">Q428-2</f>
        <v>13</v>
      </c>
      <c r="R429" s="2">
        <f t="shared" si="1162"/>
        <v>-13</v>
      </c>
      <c r="S429" s="2"/>
      <c r="T429" s="2"/>
      <c r="U429" s="9">
        <f t="shared" ref="U429" si="1167">0.098*J431*M431*0.5*R429</f>
        <v>0</v>
      </c>
      <c r="V429" s="9">
        <f t="shared" ref="V429" si="1168">0.098*J431*M431*Q429</f>
        <v>0</v>
      </c>
      <c r="W429" s="8">
        <f t="shared" ref="W429" si="1169">0.098*J431*M431*(S429-T429)</f>
        <v>0</v>
      </c>
      <c r="X429" s="23"/>
      <c r="Y429" s="81"/>
      <c r="Z429" s="125"/>
    </row>
    <row r="430" spans="1:26" x14ac:dyDescent="0.2">
      <c r="A430" s="108"/>
      <c r="B430" s="111"/>
      <c r="C430" s="111"/>
      <c r="D430" s="111"/>
      <c r="E430" s="72"/>
      <c r="F430" s="72"/>
      <c r="G430" s="72"/>
      <c r="H430" s="72"/>
      <c r="I430" s="75"/>
      <c r="J430" s="69"/>
      <c r="K430" s="69"/>
      <c r="L430" s="69"/>
      <c r="M430" s="69"/>
      <c r="N430" s="114"/>
      <c r="O430" s="34"/>
      <c r="P430" s="34"/>
      <c r="Q430" s="2">
        <f t="shared" si="1166"/>
        <v>11</v>
      </c>
      <c r="R430" s="2">
        <f t="shared" si="1162"/>
        <v>-11</v>
      </c>
      <c r="S430" s="2"/>
      <c r="T430" s="2"/>
      <c r="U430" s="9">
        <f t="shared" ref="U430" si="1170">0.098*J431*M431*0.5*R430</f>
        <v>0</v>
      </c>
      <c r="V430" s="9">
        <f t="shared" ref="V430" si="1171">0.098*J431*M431*Q430</f>
        <v>0</v>
      </c>
      <c r="W430" s="8">
        <f t="shared" ref="W430" si="1172">0.098*J431*M431*(S430-T430)</f>
        <v>0</v>
      </c>
      <c r="X430" s="84"/>
      <c r="Y430" s="82"/>
      <c r="Z430" s="125"/>
    </row>
    <row r="431" spans="1:26" x14ac:dyDescent="0.2">
      <c r="A431" s="108"/>
      <c r="B431" s="111"/>
      <c r="C431" s="111"/>
      <c r="D431" s="111"/>
      <c r="E431" s="72"/>
      <c r="F431" s="72"/>
      <c r="G431" s="72"/>
      <c r="H431" s="72"/>
      <c r="I431" s="75"/>
      <c r="J431" s="86">
        <f t="shared" ref="J431" si="1173">(7*F434)/1000</f>
        <v>-0.62078800000000001</v>
      </c>
      <c r="K431" s="89"/>
      <c r="L431" s="92"/>
      <c r="M431" s="92"/>
      <c r="N431" s="114"/>
      <c r="O431" s="34"/>
      <c r="P431" s="34"/>
      <c r="Q431" s="2">
        <f t="shared" si="1166"/>
        <v>9</v>
      </c>
      <c r="R431" s="2">
        <f t="shared" si="1162"/>
        <v>-9</v>
      </c>
      <c r="S431" s="2"/>
      <c r="T431" s="2"/>
      <c r="U431" s="9">
        <f t="shared" ref="U431" si="1174">0.098*J431*M431*0.5*R431</f>
        <v>0</v>
      </c>
      <c r="V431" s="9">
        <f t="shared" ref="V431" si="1175">0.098*J431*M431*Q431</f>
        <v>0</v>
      </c>
      <c r="W431" s="8">
        <f t="shared" ref="W431" si="1176">0.098*J431*M431*(S431-T431)</f>
        <v>0</v>
      </c>
      <c r="X431" s="84"/>
      <c r="Y431" s="82"/>
      <c r="Z431" s="101">
        <f t="shared" ref="Z431" si="1177">_xlfn.STDEV.S(R428:R433)</f>
        <v>3.7416573867739413</v>
      </c>
    </row>
    <row r="432" spans="1:26" x14ac:dyDescent="0.2">
      <c r="A432" s="108"/>
      <c r="B432" s="111"/>
      <c r="C432" s="111"/>
      <c r="D432" s="111"/>
      <c r="E432" s="72"/>
      <c r="F432" s="72"/>
      <c r="G432" s="72"/>
      <c r="H432" s="72"/>
      <c r="I432" s="75"/>
      <c r="J432" s="87"/>
      <c r="K432" s="90"/>
      <c r="L432" s="93"/>
      <c r="M432" s="93"/>
      <c r="N432" s="114"/>
      <c r="O432" s="34"/>
      <c r="P432" s="34"/>
      <c r="Q432" s="2">
        <f t="shared" si="1166"/>
        <v>7</v>
      </c>
      <c r="R432" s="2">
        <f t="shared" si="1162"/>
        <v>-7</v>
      </c>
      <c r="S432" s="2"/>
      <c r="T432" s="2"/>
      <c r="U432" s="9">
        <f t="shared" ref="U432" si="1178">0.098*J431*M431*0.5*R432</f>
        <v>0</v>
      </c>
      <c r="V432" s="9">
        <f t="shared" ref="V432" si="1179">0.098*J431*M431*Q432</f>
        <v>0</v>
      </c>
      <c r="W432" s="8">
        <f t="shared" ref="W432" si="1180">0.098*J431*M431*(S432-T432)</f>
        <v>0</v>
      </c>
      <c r="X432" s="84"/>
      <c r="Y432" s="82"/>
      <c r="Z432" s="101"/>
    </row>
    <row r="433" spans="1:26" ht="17" thickBot="1" x14ac:dyDescent="0.25">
      <c r="A433" s="109"/>
      <c r="B433" s="112"/>
      <c r="C433" s="112"/>
      <c r="D433" s="112"/>
      <c r="E433" s="73"/>
      <c r="F433" s="73"/>
      <c r="G433" s="73"/>
      <c r="H433" s="73"/>
      <c r="I433" s="76"/>
      <c r="J433" s="97"/>
      <c r="K433" s="96"/>
      <c r="L433" s="95"/>
      <c r="M433" s="95"/>
      <c r="N433" s="114"/>
      <c r="O433" s="34"/>
      <c r="P433" s="34"/>
      <c r="Q433" s="2">
        <f t="shared" si="1166"/>
        <v>5</v>
      </c>
      <c r="R433" s="2">
        <f t="shared" si="1162"/>
        <v>-5</v>
      </c>
      <c r="S433" s="2"/>
      <c r="T433" s="2"/>
      <c r="U433" s="9">
        <f t="shared" ref="U433" si="1181">0.098*J431*M431*0.5*R433</f>
        <v>0</v>
      </c>
      <c r="V433" s="9">
        <f t="shared" ref="V433" si="1182">0.098*J431*M431*Q433</f>
        <v>0</v>
      </c>
      <c r="W433" s="8">
        <f t="shared" ref="W433" si="1183">0.098*J431*M431*(S433-T433)</f>
        <v>0</v>
      </c>
      <c r="X433" s="84"/>
      <c r="Y433" s="82"/>
      <c r="Z433" s="101"/>
    </row>
    <row r="434" spans="1:26" x14ac:dyDescent="0.2">
      <c r="A434" s="19">
        <f t="shared" ref="A434:A490" si="1184">A420+1</f>
        <v>30</v>
      </c>
      <c r="B434" s="3" t="s">
        <v>5</v>
      </c>
      <c r="C434" s="3"/>
      <c r="D434" s="3"/>
      <c r="E434" s="3"/>
      <c r="F434" s="3">
        <f t="shared" ref="F434" si="1185">IF(B434="M", 50 + 0.91*(D434-152.4), IF(B434="F", 45.5 + 0.91*(D434-152.4), ""))</f>
        <v>-88.683999999999997</v>
      </c>
      <c r="G434" s="3"/>
      <c r="H434" s="3" t="e">
        <f t="shared" ref="H434" si="1186">E434/(D434*10^-2)^2</f>
        <v>#DIV/0!</v>
      </c>
      <c r="I434" s="116" t="s">
        <v>15</v>
      </c>
      <c r="J434" s="70" t="s">
        <v>31</v>
      </c>
      <c r="K434" s="70" t="s">
        <v>33</v>
      </c>
      <c r="L434" s="70" t="s">
        <v>17</v>
      </c>
      <c r="M434" s="70" t="s">
        <v>0</v>
      </c>
      <c r="N434" s="114"/>
      <c r="O434" s="4" t="s">
        <v>6</v>
      </c>
      <c r="P434" s="4" t="s">
        <v>34</v>
      </c>
      <c r="Q434" s="6" t="s">
        <v>2</v>
      </c>
      <c r="R434" s="17" t="s">
        <v>1</v>
      </c>
      <c r="S434" s="17" t="s">
        <v>25</v>
      </c>
      <c r="T434" s="17" t="s">
        <v>26</v>
      </c>
      <c r="U434" s="7" t="s">
        <v>21</v>
      </c>
      <c r="V434" s="7" t="s">
        <v>22</v>
      </c>
      <c r="W434" s="7" t="s">
        <v>24</v>
      </c>
      <c r="X434" s="84"/>
      <c r="Y434" s="82"/>
      <c r="Z434" s="125" t="s">
        <v>39</v>
      </c>
    </row>
    <row r="435" spans="1:26" x14ac:dyDescent="0.2">
      <c r="A435" s="98"/>
      <c r="B435" s="99"/>
      <c r="C435" s="99"/>
      <c r="D435" s="99"/>
      <c r="E435" s="99"/>
      <c r="F435" s="99"/>
      <c r="G435" s="99"/>
      <c r="H435" s="100"/>
      <c r="I435" s="75"/>
      <c r="J435" s="68"/>
      <c r="K435" s="68"/>
      <c r="L435" s="68"/>
      <c r="M435" s="68"/>
      <c r="N435" s="114"/>
      <c r="O435" s="34"/>
      <c r="P435" s="34"/>
      <c r="Q435" s="2">
        <v>15</v>
      </c>
      <c r="R435" s="2">
        <f t="shared" ref="R435:R440" si="1187">T435-Q435</f>
        <v>-15</v>
      </c>
      <c r="S435" s="2"/>
      <c r="T435" s="2"/>
      <c r="U435" s="2">
        <f t="shared" ref="U435" si="1188">0.098*J438*M438*0.5*R435</f>
        <v>0</v>
      </c>
      <c r="V435" s="10">
        <f t="shared" ref="V435" si="1189">0.098*J438*M438*Q435</f>
        <v>0</v>
      </c>
      <c r="W435" s="2">
        <f t="shared" ref="W435" si="1190">0.098*J438*M438*(S435-T435)</f>
        <v>0</v>
      </c>
      <c r="X435" s="84"/>
      <c r="Y435" s="82"/>
      <c r="Z435" s="125"/>
    </row>
    <row r="436" spans="1:26" x14ac:dyDescent="0.2">
      <c r="A436" s="101"/>
      <c r="B436" s="102"/>
      <c r="C436" s="102"/>
      <c r="D436" s="102"/>
      <c r="E436" s="102"/>
      <c r="F436" s="102"/>
      <c r="G436" s="102"/>
      <c r="H436" s="103"/>
      <c r="I436" s="75"/>
      <c r="J436" s="68"/>
      <c r="K436" s="68"/>
      <c r="L436" s="68"/>
      <c r="M436" s="68"/>
      <c r="N436" s="114"/>
      <c r="O436" s="34"/>
      <c r="P436" s="34"/>
      <c r="Q436" s="2">
        <f t="shared" ref="Q436:Q440" si="1191">Q435-2</f>
        <v>13</v>
      </c>
      <c r="R436" s="2">
        <f t="shared" si="1187"/>
        <v>-13</v>
      </c>
      <c r="S436" s="2"/>
      <c r="T436" s="2"/>
      <c r="U436" s="2">
        <f t="shared" ref="U436" si="1192">0.098*J438*M438*0.5*R436</f>
        <v>0</v>
      </c>
      <c r="V436" s="10">
        <f t="shared" ref="V436" si="1193">0.098*J438*M438*Q436</f>
        <v>0</v>
      </c>
      <c r="W436" s="2">
        <f t="shared" ref="W436" si="1194">0.098*J438*M438*(S436-T436)</f>
        <v>0</v>
      </c>
      <c r="X436" s="84"/>
      <c r="Y436" s="82"/>
      <c r="Z436" s="125"/>
    </row>
    <row r="437" spans="1:26" x14ac:dyDescent="0.2">
      <c r="A437" s="101"/>
      <c r="B437" s="102"/>
      <c r="C437" s="102"/>
      <c r="D437" s="102"/>
      <c r="E437" s="102"/>
      <c r="F437" s="102"/>
      <c r="G437" s="102"/>
      <c r="H437" s="103"/>
      <c r="I437" s="75"/>
      <c r="J437" s="69"/>
      <c r="K437" s="69"/>
      <c r="L437" s="69"/>
      <c r="M437" s="69"/>
      <c r="N437" s="114"/>
      <c r="O437" s="34"/>
      <c r="P437" s="34"/>
      <c r="Q437" s="2">
        <f t="shared" si="1191"/>
        <v>11</v>
      </c>
      <c r="R437" s="2">
        <f t="shared" si="1187"/>
        <v>-11</v>
      </c>
      <c r="S437" s="2"/>
      <c r="T437" s="2"/>
      <c r="U437" s="2">
        <f t="shared" ref="U437" si="1195">0.098*J438*M438*0.5*R437</f>
        <v>0</v>
      </c>
      <c r="V437" s="10">
        <f t="shared" ref="V437" si="1196">0.098*J438*M438*Q437</f>
        <v>0</v>
      </c>
      <c r="W437" s="2">
        <f t="shared" ref="W437" si="1197">0.098*J438*M438*(S437-T437)</f>
        <v>0</v>
      </c>
      <c r="X437" s="84"/>
      <c r="Y437" s="82"/>
      <c r="Z437" s="125"/>
    </row>
    <row r="438" spans="1:26" x14ac:dyDescent="0.2">
      <c r="A438" s="101"/>
      <c r="B438" s="102"/>
      <c r="C438" s="102"/>
      <c r="D438" s="102"/>
      <c r="E438" s="102"/>
      <c r="F438" s="102"/>
      <c r="G438" s="102"/>
      <c r="H438" s="103"/>
      <c r="I438" s="75"/>
      <c r="J438" s="86">
        <f t="shared" ref="J438" si="1198">(9*F434)/1000</f>
        <v>-0.79815599999999998</v>
      </c>
      <c r="K438" s="89"/>
      <c r="L438" s="92"/>
      <c r="M438" s="92"/>
      <c r="N438" s="114"/>
      <c r="O438" s="34"/>
      <c r="P438" s="34"/>
      <c r="Q438" s="2">
        <f t="shared" si="1191"/>
        <v>9</v>
      </c>
      <c r="R438" s="2">
        <f t="shared" si="1187"/>
        <v>-9</v>
      </c>
      <c r="S438" s="2"/>
      <c r="T438" s="2"/>
      <c r="U438" s="2">
        <f t="shared" ref="U438" si="1199">0.098*J438*M438*0.5*R438</f>
        <v>0</v>
      </c>
      <c r="V438" s="10">
        <f t="shared" ref="V438" si="1200">0.098*J438*M438*Q438</f>
        <v>0</v>
      </c>
      <c r="W438" s="2">
        <f t="shared" ref="W438" si="1201">0.098*J438*M438*(S438-T438)</f>
        <v>0</v>
      </c>
      <c r="X438" s="84"/>
      <c r="Y438" s="82"/>
      <c r="Z438" s="101">
        <f t="shared" ref="Z438" si="1202">_xlfn.STDEV.S(R435:R440)</f>
        <v>3.7416573867739413</v>
      </c>
    </row>
    <row r="439" spans="1:26" x14ac:dyDescent="0.2">
      <c r="A439" s="101"/>
      <c r="B439" s="102"/>
      <c r="C439" s="102"/>
      <c r="D439" s="102"/>
      <c r="E439" s="102"/>
      <c r="F439" s="102"/>
      <c r="G439" s="102"/>
      <c r="H439" s="103"/>
      <c r="I439" s="75"/>
      <c r="J439" s="87"/>
      <c r="K439" s="90"/>
      <c r="L439" s="93"/>
      <c r="M439" s="93"/>
      <c r="N439" s="114"/>
      <c r="O439" s="34"/>
      <c r="P439" s="34"/>
      <c r="Q439" s="2">
        <f t="shared" si="1191"/>
        <v>7</v>
      </c>
      <c r="R439" s="2">
        <f t="shared" si="1187"/>
        <v>-7</v>
      </c>
      <c r="S439" s="2"/>
      <c r="T439" s="2"/>
      <c r="U439" s="2">
        <f t="shared" ref="U439" si="1203">0.098*J438*M438*0.5*R439</f>
        <v>0</v>
      </c>
      <c r="V439" s="10">
        <f t="shared" ref="V439" si="1204">0.098*J438*M438*Q439</f>
        <v>0</v>
      </c>
      <c r="W439" s="2">
        <f t="shared" ref="W439" si="1205">0.098*J438*M438*(S439-T439)</f>
        <v>0</v>
      </c>
      <c r="X439" s="84"/>
      <c r="Y439" s="82"/>
      <c r="Z439" s="101"/>
    </row>
    <row r="440" spans="1:26" ht="17" thickBot="1" x14ac:dyDescent="0.25">
      <c r="A440" s="104"/>
      <c r="B440" s="105"/>
      <c r="C440" s="105"/>
      <c r="D440" s="105"/>
      <c r="E440" s="105"/>
      <c r="F440" s="105"/>
      <c r="G440" s="105"/>
      <c r="H440" s="106"/>
      <c r="I440" s="117"/>
      <c r="J440" s="88"/>
      <c r="K440" s="91"/>
      <c r="L440" s="94"/>
      <c r="M440" s="94"/>
      <c r="N440" s="115"/>
      <c r="O440" s="35"/>
      <c r="P440" s="35"/>
      <c r="Q440" s="20">
        <f t="shared" si="1191"/>
        <v>5</v>
      </c>
      <c r="R440" s="2">
        <f t="shared" si="1187"/>
        <v>-5</v>
      </c>
      <c r="S440" s="20"/>
      <c r="T440" s="20"/>
      <c r="U440" s="20">
        <f t="shared" ref="U440" si="1206">0.098*J438*M438*0.5*R440</f>
        <v>0</v>
      </c>
      <c r="V440" s="21">
        <f t="shared" ref="V440" si="1207">0.098*J438*M438*Q440</f>
        <v>0</v>
      </c>
      <c r="W440" s="20">
        <f t="shared" ref="W440" si="1208">0.098*J438*M438*(S440-T440)</f>
        <v>0</v>
      </c>
      <c r="X440" s="85"/>
      <c r="Y440" s="83"/>
      <c r="Z440" s="101"/>
    </row>
    <row r="441" spans="1:26" x14ac:dyDescent="0.2">
      <c r="A441" s="107" t="s">
        <v>8</v>
      </c>
      <c r="B441" s="110" t="s">
        <v>3</v>
      </c>
      <c r="C441" s="110" t="s">
        <v>7</v>
      </c>
      <c r="D441" s="110" t="s">
        <v>9</v>
      </c>
      <c r="E441" s="71" t="s">
        <v>11</v>
      </c>
      <c r="F441" s="71" t="s">
        <v>10</v>
      </c>
      <c r="G441" s="71" t="s">
        <v>12</v>
      </c>
      <c r="H441" s="71" t="s">
        <v>32</v>
      </c>
      <c r="I441" s="74" t="s">
        <v>14</v>
      </c>
      <c r="J441" s="67" t="s">
        <v>31</v>
      </c>
      <c r="K441" s="67" t="s">
        <v>33</v>
      </c>
      <c r="L441" s="67" t="s">
        <v>17</v>
      </c>
      <c r="M441" s="67" t="s">
        <v>0</v>
      </c>
      <c r="N441" s="113" t="s">
        <v>16</v>
      </c>
      <c r="O441" s="4" t="s">
        <v>6</v>
      </c>
      <c r="P441" s="4" t="s">
        <v>34</v>
      </c>
      <c r="Q441" s="17" t="s">
        <v>2</v>
      </c>
      <c r="R441" s="17" t="s">
        <v>1</v>
      </c>
      <c r="S441" s="17" t="s">
        <v>25</v>
      </c>
      <c r="T441" s="17" t="s">
        <v>26</v>
      </c>
      <c r="U441" s="18" t="s">
        <v>20</v>
      </c>
      <c r="V441" s="18" t="s">
        <v>22</v>
      </c>
      <c r="W441" s="18" t="s">
        <v>24</v>
      </c>
      <c r="X441" s="77" t="s">
        <v>19</v>
      </c>
      <c r="Y441" s="79" t="s">
        <v>23</v>
      </c>
      <c r="Z441" s="125" t="s">
        <v>39</v>
      </c>
    </row>
    <row r="442" spans="1:26" x14ac:dyDescent="0.2">
      <c r="A442" s="108"/>
      <c r="B442" s="111"/>
      <c r="C442" s="111"/>
      <c r="D442" s="111"/>
      <c r="E442" s="72"/>
      <c r="F442" s="72"/>
      <c r="G442" s="72"/>
      <c r="H442" s="72"/>
      <c r="I442" s="75"/>
      <c r="J442" s="68"/>
      <c r="K442" s="68"/>
      <c r="L442" s="68"/>
      <c r="M442" s="68"/>
      <c r="N442" s="114"/>
      <c r="O442" s="34"/>
      <c r="P442" s="34"/>
      <c r="Q442" s="2">
        <v>15</v>
      </c>
      <c r="R442" s="2">
        <f t="shared" ref="R442:R447" si="1209">T442-Q442</f>
        <v>-15</v>
      </c>
      <c r="S442" s="2"/>
      <c r="T442" s="2"/>
      <c r="U442" s="9">
        <f t="shared" ref="U442" si="1210">0.098*J445*M445*0.5*R442</f>
        <v>0</v>
      </c>
      <c r="V442" s="9">
        <f t="shared" ref="V442" si="1211">0.098*J445*M445*Q442</f>
        <v>0</v>
      </c>
      <c r="W442" s="8">
        <f t="shared" ref="W442" si="1212">0.098*J445*M445*(S442-T442)</f>
        <v>0</v>
      </c>
      <c r="X442" s="78"/>
      <c r="Y442" s="80"/>
      <c r="Z442" s="125"/>
    </row>
    <row r="443" spans="1:26" x14ac:dyDescent="0.2">
      <c r="A443" s="108"/>
      <c r="B443" s="111"/>
      <c r="C443" s="111"/>
      <c r="D443" s="111"/>
      <c r="E443" s="72"/>
      <c r="F443" s="72"/>
      <c r="G443" s="72"/>
      <c r="H443" s="72"/>
      <c r="I443" s="75"/>
      <c r="J443" s="68"/>
      <c r="K443" s="68"/>
      <c r="L443" s="68"/>
      <c r="M443" s="68"/>
      <c r="N443" s="114"/>
      <c r="O443" s="34"/>
      <c r="P443" s="34"/>
      <c r="Q443" s="2">
        <f t="shared" ref="Q443:Q447" si="1213">Q442-2</f>
        <v>13</v>
      </c>
      <c r="R443" s="2">
        <f t="shared" si="1209"/>
        <v>-13</v>
      </c>
      <c r="S443" s="2"/>
      <c r="T443" s="2"/>
      <c r="U443" s="9">
        <f t="shared" ref="U443" si="1214">0.098*J445*M445*0.5*R443</f>
        <v>0</v>
      </c>
      <c r="V443" s="9">
        <f t="shared" ref="V443" si="1215">0.098*J445*M445*Q443</f>
        <v>0</v>
      </c>
      <c r="W443" s="8">
        <f t="shared" ref="W443" si="1216">0.098*J445*M445*(S443-T443)</f>
        <v>0</v>
      </c>
      <c r="X443" s="23"/>
      <c r="Y443" s="81"/>
      <c r="Z443" s="125"/>
    </row>
    <row r="444" spans="1:26" x14ac:dyDescent="0.2">
      <c r="A444" s="108"/>
      <c r="B444" s="111"/>
      <c r="C444" s="111"/>
      <c r="D444" s="111"/>
      <c r="E444" s="72"/>
      <c r="F444" s="72"/>
      <c r="G444" s="72"/>
      <c r="H444" s="72"/>
      <c r="I444" s="75"/>
      <c r="J444" s="69"/>
      <c r="K444" s="69"/>
      <c r="L444" s="69"/>
      <c r="M444" s="69"/>
      <c r="N444" s="114"/>
      <c r="O444" s="34"/>
      <c r="P444" s="34"/>
      <c r="Q444" s="2">
        <f t="shared" si="1213"/>
        <v>11</v>
      </c>
      <c r="R444" s="2">
        <f t="shared" si="1209"/>
        <v>-11</v>
      </c>
      <c r="S444" s="2"/>
      <c r="T444" s="2"/>
      <c r="U444" s="9">
        <f t="shared" ref="U444" si="1217">0.098*J445*M445*0.5*R444</f>
        <v>0</v>
      </c>
      <c r="V444" s="9">
        <f t="shared" ref="V444" si="1218">0.098*J445*M445*Q444</f>
        <v>0</v>
      </c>
      <c r="W444" s="8">
        <f t="shared" ref="W444" si="1219">0.098*J445*M445*(S444-T444)</f>
        <v>0</v>
      </c>
      <c r="X444" s="84"/>
      <c r="Y444" s="82"/>
      <c r="Z444" s="125"/>
    </row>
    <row r="445" spans="1:26" x14ac:dyDescent="0.2">
      <c r="A445" s="108"/>
      <c r="B445" s="111"/>
      <c r="C445" s="111"/>
      <c r="D445" s="111"/>
      <c r="E445" s="72"/>
      <c r="F445" s="72"/>
      <c r="G445" s="72"/>
      <c r="H445" s="72"/>
      <c r="I445" s="75"/>
      <c r="J445" s="86">
        <f t="shared" ref="J445" si="1220">(7*F448)/1000</f>
        <v>-0.62078800000000001</v>
      </c>
      <c r="K445" s="89"/>
      <c r="L445" s="92"/>
      <c r="M445" s="92"/>
      <c r="N445" s="114"/>
      <c r="O445" s="34"/>
      <c r="P445" s="34"/>
      <c r="Q445" s="2">
        <f t="shared" si="1213"/>
        <v>9</v>
      </c>
      <c r="R445" s="2">
        <f t="shared" si="1209"/>
        <v>-9</v>
      </c>
      <c r="S445" s="2"/>
      <c r="T445" s="2"/>
      <c r="U445" s="9">
        <f t="shared" ref="U445" si="1221">0.098*J445*M445*0.5*R445</f>
        <v>0</v>
      </c>
      <c r="V445" s="9">
        <f t="shared" ref="V445" si="1222">0.098*J445*M445*Q445</f>
        <v>0</v>
      </c>
      <c r="W445" s="8">
        <f t="shared" ref="W445" si="1223">0.098*J445*M445*(S445-T445)</f>
        <v>0</v>
      </c>
      <c r="X445" s="84"/>
      <c r="Y445" s="82"/>
      <c r="Z445" s="101">
        <f t="shared" ref="Z445" si="1224">_xlfn.STDEV.S(R442:R447)</f>
        <v>3.7416573867739413</v>
      </c>
    </row>
    <row r="446" spans="1:26" x14ac:dyDescent="0.2">
      <c r="A446" s="108"/>
      <c r="B446" s="111"/>
      <c r="C446" s="111"/>
      <c r="D446" s="111"/>
      <c r="E446" s="72"/>
      <c r="F446" s="72"/>
      <c r="G446" s="72"/>
      <c r="H446" s="72"/>
      <c r="I446" s="75"/>
      <c r="J446" s="87"/>
      <c r="K446" s="90"/>
      <c r="L446" s="93"/>
      <c r="M446" s="93"/>
      <c r="N446" s="114"/>
      <c r="O446" s="34"/>
      <c r="P446" s="34"/>
      <c r="Q446" s="2">
        <f t="shared" si="1213"/>
        <v>7</v>
      </c>
      <c r="R446" s="2">
        <f t="shared" si="1209"/>
        <v>-7</v>
      </c>
      <c r="S446" s="2"/>
      <c r="T446" s="2"/>
      <c r="U446" s="9">
        <f t="shared" ref="U446" si="1225">0.098*J445*M445*0.5*R446</f>
        <v>0</v>
      </c>
      <c r="V446" s="9">
        <f t="shared" ref="V446" si="1226">0.098*J445*M445*Q446</f>
        <v>0</v>
      </c>
      <c r="W446" s="8">
        <f t="shared" ref="W446" si="1227">0.098*J445*M445*(S446-T446)</f>
        <v>0</v>
      </c>
      <c r="X446" s="84"/>
      <c r="Y446" s="82"/>
      <c r="Z446" s="101"/>
    </row>
    <row r="447" spans="1:26" ht="17" thickBot="1" x14ac:dyDescent="0.25">
      <c r="A447" s="109"/>
      <c r="B447" s="112"/>
      <c r="C447" s="112"/>
      <c r="D447" s="112"/>
      <c r="E447" s="73"/>
      <c r="F447" s="73"/>
      <c r="G447" s="73"/>
      <c r="H447" s="73"/>
      <c r="I447" s="76"/>
      <c r="J447" s="97"/>
      <c r="K447" s="96"/>
      <c r="L447" s="95"/>
      <c r="M447" s="95"/>
      <c r="N447" s="114"/>
      <c r="O447" s="34"/>
      <c r="P447" s="34"/>
      <c r="Q447" s="2">
        <f t="shared" si="1213"/>
        <v>5</v>
      </c>
      <c r="R447" s="2">
        <f t="shared" si="1209"/>
        <v>-5</v>
      </c>
      <c r="S447" s="2"/>
      <c r="T447" s="2"/>
      <c r="U447" s="9">
        <f t="shared" ref="U447" si="1228">0.098*J445*M445*0.5*R447</f>
        <v>0</v>
      </c>
      <c r="V447" s="9">
        <f t="shared" ref="V447" si="1229">0.098*J445*M445*Q447</f>
        <v>0</v>
      </c>
      <c r="W447" s="8">
        <f t="shared" ref="W447" si="1230">0.098*J445*M445*(S447-T447)</f>
        <v>0</v>
      </c>
      <c r="X447" s="84"/>
      <c r="Y447" s="82"/>
      <c r="Z447" s="101"/>
    </row>
    <row r="448" spans="1:26" x14ac:dyDescent="0.2">
      <c r="A448" s="19">
        <f t="shared" si="1184"/>
        <v>31</v>
      </c>
      <c r="B448" s="3" t="s">
        <v>5</v>
      </c>
      <c r="C448" s="3"/>
      <c r="D448" s="3"/>
      <c r="E448" s="3"/>
      <c r="F448" s="3">
        <f t="shared" ref="F448" si="1231">IF(B448="M", 50 + 0.91*(D448-152.4), IF(B448="F", 45.5 + 0.91*(D448-152.4), ""))</f>
        <v>-88.683999999999997</v>
      </c>
      <c r="G448" s="3"/>
      <c r="H448" s="3" t="e">
        <f t="shared" ref="H448" si="1232">E448/(D448*10^-2)^2</f>
        <v>#DIV/0!</v>
      </c>
      <c r="I448" s="116" t="s">
        <v>15</v>
      </c>
      <c r="J448" s="70" t="s">
        <v>31</v>
      </c>
      <c r="K448" s="70" t="s">
        <v>33</v>
      </c>
      <c r="L448" s="70" t="s">
        <v>17</v>
      </c>
      <c r="M448" s="70" t="s">
        <v>0</v>
      </c>
      <c r="N448" s="114"/>
      <c r="O448" s="4" t="s">
        <v>6</v>
      </c>
      <c r="P448" s="4" t="s">
        <v>34</v>
      </c>
      <c r="Q448" s="6" t="s">
        <v>2</v>
      </c>
      <c r="R448" s="17" t="s">
        <v>1</v>
      </c>
      <c r="S448" s="17" t="s">
        <v>25</v>
      </c>
      <c r="T448" s="17" t="s">
        <v>26</v>
      </c>
      <c r="U448" s="7" t="s">
        <v>21</v>
      </c>
      <c r="V448" s="7" t="s">
        <v>22</v>
      </c>
      <c r="W448" s="7" t="s">
        <v>24</v>
      </c>
      <c r="X448" s="84"/>
      <c r="Y448" s="82"/>
      <c r="Z448" s="125" t="s">
        <v>39</v>
      </c>
    </row>
    <row r="449" spans="1:26" x14ac:dyDescent="0.2">
      <c r="A449" s="98"/>
      <c r="B449" s="99"/>
      <c r="C449" s="99"/>
      <c r="D449" s="99"/>
      <c r="E449" s="99"/>
      <c r="F449" s="99"/>
      <c r="G449" s="99"/>
      <c r="H449" s="100"/>
      <c r="I449" s="75"/>
      <c r="J449" s="68"/>
      <c r="K449" s="68"/>
      <c r="L449" s="68"/>
      <c r="M449" s="68"/>
      <c r="N449" s="114"/>
      <c r="O449" s="34"/>
      <c r="P449" s="34"/>
      <c r="Q449" s="2">
        <v>15</v>
      </c>
      <c r="R449" s="2">
        <f t="shared" ref="R449:R454" si="1233">T449-Q449</f>
        <v>-15</v>
      </c>
      <c r="S449" s="2"/>
      <c r="T449" s="2"/>
      <c r="U449" s="2">
        <f t="shared" ref="U449" si="1234">0.098*J452*M452*0.5*R449</f>
        <v>0</v>
      </c>
      <c r="V449" s="10">
        <f t="shared" ref="V449" si="1235">0.098*J452*M452*Q449</f>
        <v>0</v>
      </c>
      <c r="W449" s="2">
        <f t="shared" ref="W449" si="1236">0.098*J452*M452*(S449-T449)</f>
        <v>0</v>
      </c>
      <c r="X449" s="84"/>
      <c r="Y449" s="82"/>
      <c r="Z449" s="125"/>
    </row>
    <row r="450" spans="1:26" x14ac:dyDescent="0.2">
      <c r="A450" s="101"/>
      <c r="B450" s="102"/>
      <c r="C450" s="102"/>
      <c r="D450" s="102"/>
      <c r="E450" s="102"/>
      <c r="F450" s="102"/>
      <c r="G450" s="102"/>
      <c r="H450" s="103"/>
      <c r="I450" s="75"/>
      <c r="J450" s="68"/>
      <c r="K450" s="68"/>
      <c r="L450" s="68"/>
      <c r="M450" s="68"/>
      <c r="N450" s="114"/>
      <c r="O450" s="34"/>
      <c r="P450" s="34"/>
      <c r="Q450" s="2">
        <f t="shared" ref="Q450:Q454" si="1237">Q449-2</f>
        <v>13</v>
      </c>
      <c r="R450" s="2">
        <f t="shared" si="1233"/>
        <v>-13</v>
      </c>
      <c r="S450" s="2"/>
      <c r="T450" s="2"/>
      <c r="U450" s="2">
        <f t="shared" ref="U450" si="1238">0.098*J452*M452*0.5*R450</f>
        <v>0</v>
      </c>
      <c r="V450" s="10">
        <f t="shared" ref="V450" si="1239">0.098*J452*M452*Q450</f>
        <v>0</v>
      </c>
      <c r="W450" s="2">
        <f t="shared" ref="W450" si="1240">0.098*J452*M452*(S450-T450)</f>
        <v>0</v>
      </c>
      <c r="X450" s="84"/>
      <c r="Y450" s="82"/>
      <c r="Z450" s="125"/>
    </row>
    <row r="451" spans="1:26" x14ac:dyDescent="0.2">
      <c r="A451" s="101"/>
      <c r="B451" s="102"/>
      <c r="C451" s="102"/>
      <c r="D451" s="102"/>
      <c r="E451" s="102"/>
      <c r="F451" s="102"/>
      <c r="G451" s="102"/>
      <c r="H451" s="103"/>
      <c r="I451" s="75"/>
      <c r="J451" s="69"/>
      <c r="K451" s="69"/>
      <c r="L451" s="69"/>
      <c r="M451" s="69"/>
      <c r="N451" s="114"/>
      <c r="O451" s="34"/>
      <c r="P451" s="34"/>
      <c r="Q451" s="2">
        <f t="shared" si="1237"/>
        <v>11</v>
      </c>
      <c r="R451" s="2">
        <f t="shared" si="1233"/>
        <v>-11</v>
      </c>
      <c r="S451" s="2"/>
      <c r="T451" s="2"/>
      <c r="U451" s="2">
        <f t="shared" ref="U451" si="1241">0.098*J452*M452*0.5*R451</f>
        <v>0</v>
      </c>
      <c r="V451" s="10">
        <f t="shared" ref="V451" si="1242">0.098*J452*M452*Q451</f>
        <v>0</v>
      </c>
      <c r="W451" s="2">
        <f t="shared" ref="W451" si="1243">0.098*J452*M452*(S451-T451)</f>
        <v>0</v>
      </c>
      <c r="X451" s="84"/>
      <c r="Y451" s="82"/>
      <c r="Z451" s="125"/>
    </row>
    <row r="452" spans="1:26" x14ac:dyDescent="0.2">
      <c r="A452" s="101"/>
      <c r="B452" s="102"/>
      <c r="C452" s="102"/>
      <c r="D452" s="102"/>
      <c r="E452" s="102"/>
      <c r="F452" s="102"/>
      <c r="G452" s="102"/>
      <c r="H452" s="103"/>
      <c r="I452" s="75"/>
      <c r="J452" s="86">
        <f t="shared" ref="J452" si="1244">(9*F448)/1000</f>
        <v>-0.79815599999999998</v>
      </c>
      <c r="K452" s="89"/>
      <c r="L452" s="92"/>
      <c r="M452" s="92"/>
      <c r="N452" s="114"/>
      <c r="O452" s="34"/>
      <c r="P452" s="34"/>
      <c r="Q452" s="2">
        <f t="shared" si="1237"/>
        <v>9</v>
      </c>
      <c r="R452" s="2">
        <f t="shared" si="1233"/>
        <v>-9</v>
      </c>
      <c r="S452" s="2"/>
      <c r="T452" s="2"/>
      <c r="U452" s="2">
        <f t="shared" ref="U452" si="1245">0.098*J452*M452*0.5*R452</f>
        <v>0</v>
      </c>
      <c r="V452" s="10">
        <f t="shared" ref="V452" si="1246">0.098*J452*M452*Q452</f>
        <v>0</v>
      </c>
      <c r="W452" s="2">
        <f t="shared" ref="W452" si="1247">0.098*J452*M452*(S452-T452)</f>
        <v>0</v>
      </c>
      <c r="X452" s="84"/>
      <c r="Y452" s="82"/>
      <c r="Z452" s="101">
        <f t="shared" ref="Z452" si="1248">_xlfn.STDEV.S(R449:R454)</f>
        <v>3.7416573867739413</v>
      </c>
    </row>
    <row r="453" spans="1:26" x14ac:dyDescent="0.2">
      <c r="A453" s="101"/>
      <c r="B453" s="102"/>
      <c r="C453" s="102"/>
      <c r="D453" s="102"/>
      <c r="E453" s="102"/>
      <c r="F453" s="102"/>
      <c r="G453" s="102"/>
      <c r="H453" s="103"/>
      <c r="I453" s="75"/>
      <c r="J453" s="87"/>
      <c r="K453" s="90"/>
      <c r="L453" s="93"/>
      <c r="M453" s="93"/>
      <c r="N453" s="114"/>
      <c r="O453" s="34"/>
      <c r="P453" s="34"/>
      <c r="Q453" s="2">
        <f t="shared" si="1237"/>
        <v>7</v>
      </c>
      <c r="R453" s="2">
        <f t="shared" si="1233"/>
        <v>-7</v>
      </c>
      <c r="S453" s="2"/>
      <c r="T453" s="2"/>
      <c r="U453" s="2">
        <f t="shared" ref="U453" si="1249">0.098*J452*M452*0.5*R453</f>
        <v>0</v>
      </c>
      <c r="V453" s="10">
        <f t="shared" ref="V453" si="1250">0.098*J452*M452*Q453</f>
        <v>0</v>
      </c>
      <c r="W453" s="2">
        <f t="shared" ref="W453" si="1251">0.098*J452*M452*(S453-T453)</f>
        <v>0</v>
      </c>
      <c r="X453" s="84"/>
      <c r="Y453" s="82"/>
      <c r="Z453" s="101"/>
    </row>
    <row r="454" spans="1:26" ht="17" thickBot="1" x14ac:dyDescent="0.25">
      <c r="A454" s="104"/>
      <c r="B454" s="105"/>
      <c r="C454" s="105"/>
      <c r="D454" s="105"/>
      <c r="E454" s="105"/>
      <c r="F454" s="105"/>
      <c r="G454" s="105"/>
      <c r="H454" s="106"/>
      <c r="I454" s="117"/>
      <c r="J454" s="88"/>
      <c r="K454" s="91"/>
      <c r="L454" s="94"/>
      <c r="M454" s="94"/>
      <c r="N454" s="115"/>
      <c r="O454" s="35"/>
      <c r="P454" s="35"/>
      <c r="Q454" s="20">
        <f t="shared" si="1237"/>
        <v>5</v>
      </c>
      <c r="R454" s="2">
        <f t="shared" si="1233"/>
        <v>-5</v>
      </c>
      <c r="S454" s="20"/>
      <c r="T454" s="20"/>
      <c r="U454" s="20">
        <f t="shared" ref="U454" si="1252">0.098*J452*M452*0.5*R454</f>
        <v>0</v>
      </c>
      <c r="V454" s="21">
        <f t="shared" ref="V454" si="1253">0.098*J452*M452*Q454</f>
        <v>0</v>
      </c>
      <c r="W454" s="20">
        <f t="shared" ref="W454" si="1254">0.098*J452*M452*(S454-T454)</f>
        <v>0</v>
      </c>
      <c r="X454" s="85"/>
      <c r="Y454" s="83"/>
      <c r="Z454" s="101"/>
    </row>
    <row r="455" spans="1:26" x14ac:dyDescent="0.2">
      <c r="A455" s="107" t="s">
        <v>8</v>
      </c>
      <c r="B455" s="110" t="s">
        <v>3</v>
      </c>
      <c r="C455" s="110" t="s">
        <v>7</v>
      </c>
      <c r="D455" s="110" t="s">
        <v>9</v>
      </c>
      <c r="E455" s="71" t="s">
        <v>11</v>
      </c>
      <c r="F455" s="71" t="s">
        <v>10</v>
      </c>
      <c r="G455" s="71" t="s">
        <v>12</v>
      </c>
      <c r="H455" s="71" t="s">
        <v>32</v>
      </c>
      <c r="I455" s="74" t="s">
        <v>14</v>
      </c>
      <c r="J455" s="67" t="s">
        <v>31</v>
      </c>
      <c r="K455" s="67" t="s">
        <v>33</v>
      </c>
      <c r="L455" s="67" t="s">
        <v>17</v>
      </c>
      <c r="M455" s="67" t="s">
        <v>0</v>
      </c>
      <c r="N455" s="113" t="s">
        <v>16</v>
      </c>
      <c r="O455" s="4" t="s">
        <v>6</v>
      </c>
      <c r="P455" s="4" t="s">
        <v>34</v>
      </c>
      <c r="Q455" s="17" t="s">
        <v>2</v>
      </c>
      <c r="R455" s="17" t="s">
        <v>1</v>
      </c>
      <c r="S455" s="17" t="s">
        <v>25</v>
      </c>
      <c r="T455" s="17" t="s">
        <v>26</v>
      </c>
      <c r="U455" s="18" t="s">
        <v>20</v>
      </c>
      <c r="V455" s="18" t="s">
        <v>22</v>
      </c>
      <c r="W455" s="18" t="s">
        <v>24</v>
      </c>
      <c r="X455" s="77" t="s">
        <v>19</v>
      </c>
      <c r="Y455" s="79" t="s">
        <v>23</v>
      </c>
      <c r="Z455" s="125" t="s">
        <v>39</v>
      </c>
    </row>
    <row r="456" spans="1:26" x14ac:dyDescent="0.2">
      <c r="A456" s="108"/>
      <c r="B456" s="111"/>
      <c r="C456" s="111"/>
      <c r="D456" s="111"/>
      <c r="E456" s="72"/>
      <c r="F456" s="72"/>
      <c r="G456" s="72"/>
      <c r="H456" s="72"/>
      <c r="I456" s="75"/>
      <c r="J456" s="68"/>
      <c r="K456" s="68"/>
      <c r="L456" s="68"/>
      <c r="M456" s="68"/>
      <c r="N456" s="114"/>
      <c r="O456" s="34"/>
      <c r="P456" s="34"/>
      <c r="Q456" s="2">
        <v>15</v>
      </c>
      <c r="R456" s="2">
        <f t="shared" ref="R456:R461" si="1255">T456-Q456</f>
        <v>-15</v>
      </c>
      <c r="S456" s="2"/>
      <c r="T456" s="2"/>
      <c r="U456" s="9">
        <f t="shared" ref="U456" si="1256">0.098*J459*M459*0.5*R456</f>
        <v>0</v>
      </c>
      <c r="V456" s="9">
        <f t="shared" ref="V456" si="1257">0.098*J459*M459*Q456</f>
        <v>0</v>
      </c>
      <c r="W456" s="8">
        <f t="shared" ref="W456" si="1258">0.098*J459*M459*(S456-T456)</f>
        <v>0</v>
      </c>
      <c r="X456" s="78"/>
      <c r="Y456" s="80"/>
      <c r="Z456" s="125"/>
    </row>
    <row r="457" spans="1:26" x14ac:dyDescent="0.2">
      <c r="A457" s="108"/>
      <c r="B457" s="111"/>
      <c r="C457" s="111"/>
      <c r="D457" s="111"/>
      <c r="E457" s="72"/>
      <c r="F457" s="72"/>
      <c r="G457" s="72"/>
      <c r="H457" s="72"/>
      <c r="I457" s="75"/>
      <c r="J457" s="68"/>
      <c r="K457" s="68"/>
      <c r="L457" s="68"/>
      <c r="M457" s="68"/>
      <c r="N457" s="114"/>
      <c r="O457" s="34"/>
      <c r="P457" s="34"/>
      <c r="Q457" s="2">
        <f t="shared" ref="Q457:Q461" si="1259">Q456-2</f>
        <v>13</v>
      </c>
      <c r="R457" s="2">
        <f t="shared" si="1255"/>
        <v>-13</v>
      </c>
      <c r="S457" s="2"/>
      <c r="T457" s="2"/>
      <c r="U457" s="9">
        <f t="shared" ref="U457" si="1260">0.098*J459*M459*0.5*R457</f>
        <v>0</v>
      </c>
      <c r="V457" s="9">
        <f t="shared" ref="V457" si="1261">0.098*J459*M459*Q457</f>
        <v>0</v>
      </c>
      <c r="W457" s="8">
        <f t="shared" ref="W457" si="1262">0.098*J459*M459*(S457-T457)</f>
        <v>0</v>
      </c>
      <c r="X457" s="23"/>
      <c r="Y457" s="81"/>
      <c r="Z457" s="125"/>
    </row>
    <row r="458" spans="1:26" x14ac:dyDescent="0.2">
      <c r="A458" s="108"/>
      <c r="B458" s="111"/>
      <c r="C458" s="111"/>
      <c r="D458" s="111"/>
      <c r="E458" s="72"/>
      <c r="F458" s="72"/>
      <c r="G458" s="72"/>
      <c r="H458" s="72"/>
      <c r="I458" s="75"/>
      <c r="J458" s="69"/>
      <c r="K458" s="69"/>
      <c r="L458" s="69"/>
      <c r="M458" s="69"/>
      <c r="N458" s="114"/>
      <c r="O458" s="34"/>
      <c r="P458" s="34"/>
      <c r="Q458" s="2">
        <f t="shared" si="1259"/>
        <v>11</v>
      </c>
      <c r="R458" s="2">
        <f t="shared" si="1255"/>
        <v>-11</v>
      </c>
      <c r="S458" s="2"/>
      <c r="T458" s="2"/>
      <c r="U458" s="9">
        <f t="shared" ref="U458" si="1263">0.098*J459*M459*0.5*R458</f>
        <v>0</v>
      </c>
      <c r="V458" s="9">
        <f t="shared" ref="V458" si="1264">0.098*J459*M459*Q458</f>
        <v>0</v>
      </c>
      <c r="W458" s="8">
        <f t="shared" ref="W458" si="1265">0.098*J459*M459*(S458-T458)</f>
        <v>0</v>
      </c>
      <c r="X458" s="84"/>
      <c r="Y458" s="82"/>
      <c r="Z458" s="125"/>
    </row>
    <row r="459" spans="1:26" x14ac:dyDescent="0.2">
      <c r="A459" s="108"/>
      <c r="B459" s="111"/>
      <c r="C459" s="111"/>
      <c r="D459" s="111"/>
      <c r="E459" s="72"/>
      <c r="F459" s="72"/>
      <c r="G459" s="72"/>
      <c r="H459" s="72"/>
      <c r="I459" s="75"/>
      <c r="J459" s="86">
        <f t="shared" ref="J459" si="1266">(7*F462)/1000</f>
        <v>-0.62078800000000001</v>
      </c>
      <c r="K459" s="89"/>
      <c r="L459" s="92"/>
      <c r="M459" s="92"/>
      <c r="N459" s="114"/>
      <c r="O459" s="34"/>
      <c r="P459" s="34"/>
      <c r="Q459" s="2">
        <f t="shared" si="1259"/>
        <v>9</v>
      </c>
      <c r="R459" s="2">
        <f t="shared" si="1255"/>
        <v>-9</v>
      </c>
      <c r="S459" s="2"/>
      <c r="T459" s="2"/>
      <c r="U459" s="9">
        <f t="shared" ref="U459" si="1267">0.098*J459*M459*0.5*R459</f>
        <v>0</v>
      </c>
      <c r="V459" s="9">
        <f t="shared" ref="V459" si="1268">0.098*J459*M459*Q459</f>
        <v>0</v>
      </c>
      <c r="W459" s="8">
        <f t="shared" ref="W459" si="1269">0.098*J459*M459*(S459-T459)</f>
        <v>0</v>
      </c>
      <c r="X459" s="84"/>
      <c r="Y459" s="82"/>
      <c r="Z459" s="101">
        <f t="shared" ref="Z459" si="1270">_xlfn.STDEV.S(R456:R461)</f>
        <v>3.7416573867739413</v>
      </c>
    </row>
    <row r="460" spans="1:26" x14ac:dyDescent="0.2">
      <c r="A460" s="108"/>
      <c r="B460" s="111"/>
      <c r="C460" s="111"/>
      <c r="D460" s="111"/>
      <c r="E460" s="72"/>
      <c r="F460" s="72"/>
      <c r="G460" s="72"/>
      <c r="H460" s="72"/>
      <c r="I460" s="75"/>
      <c r="J460" s="87"/>
      <c r="K460" s="90"/>
      <c r="L460" s="93"/>
      <c r="M460" s="93"/>
      <c r="N460" s="114"/>
      <c r="O460" s="34"/>
      <c r="P460" s="34"/>
      <c r="Q460" s="2">
        <f t="shared" si="1259"/>
        <v>7</v>
      </c>
      <c r="R460" s="2">
        <f t="shared" si="1255"/>
        <v>-7</v>
      </c>
      <c r="S460" s="2"/>
      <c r="T460" s="2"/>
      <c r="U460" s="9">
        <f t="shared" ref="U460" si="1271">0.098*J459*M459*0.5*R460</f>
        <v>0</v>
      </c>
      <c r="V460" s="9">
        <f t="shared" ref="V460" si="1272">0.098*J459*M459*Q460</f>
        <v>0</v>
      </c>
      <c r="W460" s="8">
        <f t="shared" ref="W460" si="1273">0.098*J459*M459*(S460-T460)</f>
        <v>0</v>
      </c>
      <c r="X460" s="84"/>
      <c r="Y460" s="82"/>
      <c r="Z460" s="101"/>
    </row>
    <row r="461" spans="1:26" ht="17" thickBot="1" x14ac:dyDescent="0.25">
      <c r="A461" s="109"/>
      <c r="B461" s="112"/>
      <c r="C461" s="112"/>
      <c r="D461" s="112"/>
      <c r="E461" s="73"/>
      <c r="F461" s="73"/>
      <c r="G461" s="73"/>
      <c r="H461" s="73"/>
      <c r="I461" s="76"/>
      <c r="J461" s="97"/>
      <c r="K461" s="96"/>
      <c r="L461" s="95"/>
      <c r="M461" s="95"/>
      <c r="N461" s="114"/>
      <c r="O461" s="34"/>
      <c r="P461" s="34"/>
      <c r="Q461" s="2">
        <f t="shared" si="1259"/>
        <v>5</v>
      </c>
      <c r="R461" s="2">
        <f t="shared" si="1255"/>
        <v>-5</v>
      </c>
      <c r="S461" s="2"/>
      <c r="T461" s="2"/>
      <c r="U461" s="9">
        <f t="shared" ref="U461" si="1274">0.098*J459*M459*0.5*R461</f>
        <v>0</v>
      </c>
      <c r="V461" s="9">
        <f t="shared" ref="V461" si="1275">0.098*J459*M459*Q461</f>
        <v>0</v>
      </c>
      <c r="W461" s="8">
        <f t="shared" ref="W461" si="1276">0.098*J459*M459*(S461-T461)</f>
        <v>0</v>
      </c>
      <c r="X461" s="84"/>
      <c r="Y461" s="82"/>
      <c r="Z461" s="101"/>
    </row>
    <row r="462" spans="1:26" x14ac:dyDescent="0.2">
      <c r="A462" s="19">
        <f t="shared" si="1184"/>
        <v>32</v>
      </c>
      <c r="B462" s="3" t="s">
        <v>5</v>
      </c>
      <c r="C462" s="3"/>
      <c r="D462" s="3"/>
      <c r="E462" s="3"/>
      <c r="F462" s="3">
        <f t="shared" ref="F462" si="1277">IF(B462="M", 50 + 0.91*(D462-152.4), IF(B462="F", 45.5 + 0.91*(D462-152.4), ""))</f>
        <v>-88.683999999999997</v>
      </c>
      <c r="G462" s="3"/>
      <c r="H462" s="3" t="e">
        <f t="shared" ref="H462" si="1278">E462/(D462*10^-2)^2</f>
        <v>#DIV/0!</v>
      </c>
      <c r="I462" s="116" t="s">
        <v>15</v>
      </c>
      <c r="J462" s="70" t="s">
        <v>31</v>
      </c>
      <c r="K462" s="70" t="s">
        <v>33</v>
      </c>
      <c r="L462" s="70" t="s">
        <v>17</v>
      </c>
      <c r="M462" s="70" t="s">
        <v>0</v>
      </c>
      <c r="N462" s="114"/>
      <c r="O462" s="4" t="s">
        <v>6</v>
      </c>
      <c r="P462" s="4" t="s">
        <v>34</v>
      </c>
      <c r="Q462" s="6" t="s">
        <v>2</v>
      </c>
      <c r="R462" s="17" t="s">
        <v>1</v>
      </c>
      <c r="S462" s="17" t="s">
        <v>25</v>
      </c>
      <c r="T462" s="17" t="s">
        <v>26</v>
      </c>
      <c r="U462" s="7" t="s">
        <v>21</v>
      </c>
      <c r="V462" s="7" t="s">
        <v>22</v>
      </c>
      <c r="W462" s="7" t="s">
        <v>24</v>
      </c>
      <c r="X462" s="84"/>
      <c r="Y462" s="82"/>
      <c r="Z462" s="125" t="s">
        <v>39</v>
      </c>
    </row>
    <row r="463" spans="1:26" x14ac:dyDescent="0.2">
      <c r="A463" s="98"/>
      <c r="B463" s="99"/>
      <c r="C463" s="99"/>
      <c r="D463" s="99"/>
      <c r="E463" s="99"/>
      <c r="F463" s="99"/>
      <c r="G463" s="99"/>
      <c r="H463" s="100"/>
      <c r="I463" s="75"/>
      <c r="J463" s="68"/>
      <c r="K463" s="68"/>
      <c r="L463" s="68"/>
      <c r="M463" s="68"/>
      <c r="N463" s="114"/>
      <c r="O463" s="34"/>
      <c r="P463" s="34"/>
      <c r="Q463" s="2">
        <v>15</v>
      </c>
      <c r="R463" s="2">
        <f t="shared" ref="R463:R468" si="1279">T463-Q463</f>
        <v>-15</v>
      </c>
      <c r="S463" s="2"/>
      <c r="T463" s="2"/>
      <c r="U463" s="2">
        <f t="shared" ref="U463" si="1280">0.098*J466*M466*0.5*R463</f>
        <v>0</v>
      </c>
      <c r="V463" s="10">
        <f t="shared" ref="V463" si="1281">0.098*J466*M466*Q463</f>
        <v>0</v>
      </c>
      <c r="W463" s="2">
        <f t="shared" ref="W463" si="1282">0.098*J466*M466*(S463-T463)</f>
        <v>0</v>
      </c>
      <c r="X463" s="84"/>
      <c r="Y463" s="82"/>
      <c r="Z463" s="125"/>
    </row>
    <row r="464" spans="1:26" x14ac:dyDescent="0.2">
      <c r="A464" s="101"/>
      <c r="B464" s="102"/>
      <c r="C464" s="102"/>
      <c r="D464" s="102"/>
      <c r="E464" s="102"/>
      <c r="F464" s="102"/>
      <c r="G464" s="102"/>
      <c r="H464" s="103"/>
      <c r="I464" s="75"/>
      <c r="J464" s="68"/>
      <c r="K464" s="68"/>
      <c r="L464" s="68"/>
      <c r="M464" s="68"/>
      <c r="N464" s="114"/>
      <c r="O464" s="34"/>
      <c r="P464" s="34"/>
      <c r="Q464" s="2">
        <f t="shared" ref="Q464:Q468" si="1283">Q463-2</f>
        <v>13</v>
      </c>
      <c r="R464" s="2">
        <f t="shared" si="1279"/>
        <v>-13</v>
      </c>
      <c r="S464" s="2"/>
      <c r="T464" s="2"/>
      <c r="U464" s="2">
        <f t="shared" ref="U464" si="1284">0.098*J466*M466*0.5*R464</f>
        <v>0</v>
      </c>
      <c r="V464" s="10">
        <f t="shared" ref="V464" si="1285">0.098*J466*M466*Q464</f>
        <v>0</v>
      </c>
      <c r="W464" s="2">
        <f t="shared" ref="W464" si="1286">0.098*J466*M466*(S464-T464)</f>
        <v>0</v>
      </c>
      <c r="X464" s="84"/>
      <c r="Y464" s="82"/>
      <c r="Z464" s="125"/>
    </row>
    <row r="465" spans="1:26" x14ac:dyDescent="0.2">
      <c r="A465" s="101"/>
      <c r="B465" s="102"/>
      <c r="C465" s="102"/>
      <c r="D465" s="102"/>
      <c r="E465" s="102"/>
      <c r="F465" s="102"/>
      <c r="G465" s="102"/>
      <c r="H465" s="103"/>
      <c r="I465" s="75"/>
      <c r="J465" s="69"/>
      <c r="K465" s="69"/>
      <c r="L465" s="69"/>
      <c r="M465" s="69"/>
      <c r="N465" s="114"/>
      <c r="O465" s="34"/>
      <c r="P465" s="34"/>
      <c r="Q465" s="2">
        <f t="shared" si="1283"/>
        <v>11</v>
      </c>
      <c r="R465" s="2">
        <f t="shared" si="1279"/>
        <v>-11</v>
      </c>
      <c r="S465" s="2"/>
      <c r="T465" s="2"/>
      <c r="U465" s="2">
        <f t="shared" ref="U465" si="1287">0.098*J466*M466*0.5*R465</f>
        <v>0</v>
      </c>
      <c r="V465" s="10">
        <f t="shared" ref="V465" si="1288">0.098*J466*M466*Q465</f>
        <v>0</v>
      </c>
      <c r="W465" s="2">
        <f t="shared" ref="W465" si="1289">0.098*J466*M466*(S465-T465)</f>
        <v>0</v>
      </c>
      <c r="X465" s="84"/>
      <c r="Y465" s="82"/>
      <c r="Z465" s="125"/>
    </row>
    <row r="466" spans="1:26" x14ac:dyDescent="0.2">
      <c r="A466" s="101"/>
      <c r="B466" s="102"/>
      <c r="C466" s="102"/>
      <c r="D466" s="102"/>
      <c r="E466" s="102"/>
      <c r="F466" s="102"/>
      <c r="G466" s="102"/>
      <c r="H466" s="103"/>
      <c r="I466" s="75"/>
      <c r="J466" s="86">
        <f t="shared" ref="J466" si="1290">(9*F462)/1000</f>
        <v>-0.79815599999999998</v>
      </c>
      <c r="K466" s="89"/>
      <c r="L466" s="92"/>
      <c r="M466" s="92"/>
      <c r="N466" s="114"/>
      <c r="O466" s="34"/>
      <c r="P466" s="34"/>
      <c r="Q466" s="2">
        <f t="shared" si="1283"/>
        <v>9</v>
      </c>
      <c r="R466" s="2">
        <f t="shared" si="1279"/>
        <v>-9</v>
      </c>
      <c r="S466" s="2"/>
      <c r="T466" s="2"/>
      <c r="U466" s="2">
        <f t="shared" ref="U466" si="1291">0.098*J466*M466*0.5*R466</f>
        <v>0</v>
      </c>
      <c r="V466" s="10">
        <f t="shared" ref="V466" si="1292">0.098*J466*M466*Q466</f>
        <v>0</v>
      </c>
      <c r="W466" s="2">
        <f t="shared" ref="W466" si="1293">0.098*J466*M466*(S466-T466)</f>
        <v>0</v>
      </c>
      <c r="X466" s="84"/>
      <c r="Y466" s="82"/>
      <c r="Z466" s="101">
        <f t="shared" ref="Z466" si="1294">_xlfn.STDEV.S(R463:R468)</f>
        <v>3.7416573867739413</v>
      </c>
    </row>
    <row r="467" spans="1:26" x14ac:dyDescent="0.2">
      <c r="A467" s="101"/>
      <c r="B467" s="102"/>
      <c r="C467" s="102"/>
      <c r="D467" s="102"/>
      <c r="E467" s="102"/>
      <c r="F467" s="102"/>
      <c r="G467" s="102"/>
      <c r="H467" s="103"/>
      <c r="I467" s="75"/>
      <c r="J467" s="87"/>
      <c r="K467" s="90"/>
      <c r="L467" s="93"/>
      <c r="M467" s="93"/>
      <c r="N467" s="114"/>
      <c r="O467" s="34"/>
      <c r="P467" s="34"/>
      <c r="Q467" s="2">
        <f t="shared" si="1283"/>
        <v>7</v>
      </c>
      <c r="R467" s="2">
        <f t="shared" si="1279"/>
        <v>-7</v>
      </c>
      <c r="S467" s="2"/>
      <c r="T467" s="2"/>
      <c r="U467" s="2">
        <f t="shared" ref="U467" si="1295">0.098*J466*M466*0.5*R467</f>
        <v>0</v>
      </c>
      <c r="V467" s="10">
        <f t="shared" ref="V467" si="1296">0.098*J466*M466*Q467</f>
        <v>0</v>
      </c>
      <c r="W467" s="2">
        <f t="shared" ref="W467" si="1297">0.098*J466*M466*(S467-T467)</f>
        <v>0</v>
      </c>
      <c r="X467" s="84"/>
      <c r="Y467" s="82"/>
      <c r="Z467" s="101"/>
    </row>
    <row r="468" spans="1:26" ht="17" thickBot="1" x14ac:dyDescent="0.25">
      <c r="A468" s="104"/>
      <c r="B468" s="105"/>
      <c r="C468" s="105"/>
      <c r="D468" s="105"/>
      <c r="E468" s="105"/>
      <c r="F468" s="105"/>
      <c r="G468" s="105"/>
      <c r="H468" s="106"/>
      <c r="I468" s="117"/>
      <c r="J468" s="88"/>
      <c r="K468" s="91"/>
      <c r="L468" s="94"/>
      <c r="M468" s="94"/>
      <c r="N468" s="115"/>
      <c r="O468" s="35"/>
      <c r="P468" s="35"/>
      <c r="Q468" s="20">
        <f t="shared" si="1283"/>
        <v>5</v>
      </c>
      <c r="R468" s="2">
        <f t="shared" si="1279"/>
        <v>-5</v>
      </c>
      <c r="S468" s="20"/>
      <c r="T468" s="20"/>
      <c r="U468" s="20">
        <f t="shared" ref="U468" si="1298">0.098*J466*M466*0.5*R468</f>
        <v>0</v>
      </c>
      <c r="V468" s="21">
        <f t="shared" ref="V468" si="1299">0.098*J466*M466*Q468</f>
        <v>0</v>
      </c>
      <c r="W468" s="20">
        <f t="shared" ref="W468" si="1300">0.098*J466*M466*(S468-T468)</f>
        <v>0</v>
      </c>
      <c r="X468" s="85"/>
      <c r="Y468" s="83"/>
      <c r="Z468" s="101"/>
    </row>
    <row r="469" spans="1:26" x14ac:dyDescent="0.2">
      <c r="A469" s="107" t="s">
        <v>8</v>
      </c>
      <c r="B469" s="110" t="s">
        <v>3</v>
      </c>
      <c r="C469" s="110" t="s">
        <v>7</v>
      </c>
      <c r="D469" s="110" t="s">
        <v>9</v>
      </c>
      <c r="E469" s="71" t="s">
        <v>11</v>
      </c>
      <c r="F469" s="71" t="s">
        <v>10</v>
      </c>
      <c r="G469" s="71" t="s">
        <v>12</v>
      </c>
      <c r="H469" s="71" t="s">
        <v>32</v>
      </c>
      <c r="I469" s="74" t="s">
        <v>14</v>
      </c>
      <c r="J469" s="67" t="s">
        <v>31</v>
      </c>
      <c r="K469" s="67" t="s">
        <v>33</v>
      </c>
      <c r="L469" s="67" t="s">
        <v>17</v>
      </c>
      <c r="M469" s="67" t="s">
        <v>0</v>
      </c>
      <c r="N469" s="113" t="s">
        <v>16</v>
      </c>
      <c r="O469" s="4" t="s">
        <v>6</v>
      </c>
      <c r="P469" s="4" t="s">
        <v>34</v>
      </c>
      <c r="Q469" s="17" t="s">
        <v>2</v>
      </c>
      <c r="R469" s="17" t="s">
        <v>1</v>
      </c>
      <c r="S469" s="17" t="s">
        <v>25</v>
      </c>
      <c r="T469" s="17" t="s">
        <v>26</v>
      </c>
      <c r="U469" s="18" t="s">
        <v>20</v>
      </c>
      <c r="V469" s="18" t="s">
        <v>22</v>
      </c>
      <c r="W469" s="18" t="s">
        <v>24</v>
      </c>
      <c r="X469" s="77" t="s">
        <v>19</v>
      </c>
      <c r="Y469" s="79" t="s">
        <v>23</v>
      </c>
      <c r="Z469" s="125" t="s">
        <v>39</v>
      </c>
    </row>
    <row r="470" spans="1:26" x14ac:dyDescent="0.2">
      <c r="A470" s="108"/>
      <c r="B470" s="111"/>
      <c r="C470" s="111"/>
      <c r="D470" s="111"/>
      <c r="E470" s="72"/>
      <c r="F470" s="72"/>
      <c r="G470" s="72"/>
      <c r="H470" s="72"/>
      <c r="I470" s="75"/>
      <c r="J470" s="68"/>
      <c r="K470" s="68"/>
      <c r="L470" s="68"/>
      <c r="M470" s="68"/>
      <c r="N470" s="114"/>
      <c r="O470" s="34"/>
      <c r="P470" s="34"/>
      <c r="Q470" s="2">
        <v>15</v>
      </c>
      <c r="R470" s="2">
        <f t="shared" ref="R470:R475" si="1301">T470-Q470</f>
        <v>-15</v>
      </c>
      <c r="S470" s="2"/>
      <c r="T470" s="2"/>
      <c r="U470" s="9">
        <f t="shared" ref="U470" si="1302">0.098*J473*M473*0.5*R470</f>
        <v>0</v>
      </c>
      <c r="V470" s="9">
        <f t="shared" ref="V470" si="1303">0.098*J473*M473*Q470</f>
        <v>0</v>
      </c>
      <c r="W470" s="8">
        <f t="shared" ref="W470" si="1304">0.098*J473*M473*(S470-T470)</f>
        <v>0</v>
      </c>
      <c r="X470" s="78"/>
      <c r="Y470" s="80"/>
      <c r="Z470" s="125"/>
    </row>
    <row r="471" spans="1:26" x14ac:dyDescent="0.2">
      <c r="A471" s="108"/>
      <c r="B471" s="111"/>
      <c r="C471" s="111"/>
      <c r="D471" s="111"/>
      <c r="E471" s="72"/>
      <c r="F471" s="72"/>
      <c r="G471" s="72"/>
      <c r="H471" s="72"/>
      <c r="I471" s="75"/>
      <c r="J471" s="68"/>
      <c r="K471" s="68"/>
      <c r="L471" s="68"/>
      <c r="M471" s="68"/>
      <c r="N471" s="114"/>
      <c r="O471" s="34"/>
      <c r="P471" s="34"/>
      <c r="Q471" s="2">
        <f t="shared" ref="Q471:Q475" si="1305">Q470-2</f>
        <v>13</v>
      </c>
      <c r="R471" s="2">
        <f t="shared" si="1301"/>
        <v>-13</v>
      </c>
      <c r="S471" s="2"/>
      <c r="T471" s="2"/>
      <c r="U471" s="9">
        <f t="shared" ref="U471" si="1306">0.098*J473*M473*0.5*R471</f>
        <v>0</v>
      </c>
      <c r="V471" s="9">
        <f t="shared" ref="V471" si="1307">0.098*J473*M473*Q471</f>
        <v>0</v>
      </c>
      <c r="W471" s="8">
        <f t="shared" ref="W471" si="1308">0.098*J473*M473*(S471-T471)</f>
        <v>0</v>
      </c>
      <c r="X471" s="23"/>
      <c r="Y471" s="81"/>
      <c r="Z471" s="125"/>
    </row>
    <row r="472" spans="1:26" x14ac:dyDescent="0.2">
      <c r="A472" s="108"/>
      <c r="B472" s="111"/>
      <c r="C472" s="111"/>
      <c r="D472" s="111"/>
      <c r="E472" s="72"/>
      <c r="F472" s="72"/>
      <c r="G472" s="72"/>
      <c r="H472" s="72"/>
      <c r="I472" s="75"/>
      <c r="J472" s="69"/>
      <c r="K472" s="69"/>
      <c r="L472" s="69"/>
      <c r="M472" s="69"/>
      <c r="N472" s="114"/>
      <c r="O472" s="34"/>
      <c r="P472" s="34"/>
      <c r="Q472" s="2">
        <f t="shared" si="1305"/>
        <v>11</v>
      </c>
      <c r="R472" s="2">
        <f t="shared" si="1301"/>
        <v>-11</v>
      </c>
      <c r="S472" s="2"/>
      <c r="T472" s="2"/>
      <c r="U472" s="9">
        <f t="shared" ref="U472" si="1309">0.098*J473*M473*0.5*R472</f>
        <v>0</v>
      </c>
      <c r="V472" s="9">
        <f t="shared" ref="V472" si="1310">0.098*J473*M473*Q472</f>
        <v>0</v>
      </c>
      <c r="W472" s="8">
        <f t="shared" ref="W472" si="1311">0.098*J473*M473*(S472-T472)</f>
        <v>0</v>
      </c>
      <c r="X472" s="84"/>
      <c r="Y472" s="82"/>
      <c r="Z472" s="125"/>
    </row>
    <row r="473" spans="1:26" x14ac:dyDescent="0.2">
      <c r="A473" s="108"/>
      <c r="B473" s="111"/>
      <c r="C473" s="111"/>
      <c r="D473" s="111"/>
      <c r="E473" s="72"/>
      <c r="F473" s="72"/>
      <c r="G473" s="72"/>
      <c r="H473" s="72"/>
      <c r="I473" s="75"/>
      <c r="J473" s="86">
        <f t="shared" ref="J473" si="1312">(7*F476)/1000</f>
        <v>-0.62078800000000001</v>
      </c>
      <c r="K473" s="89"/>
      <c r="L473" s="92"/>
      <c r="M473" s="92"/>
      <c r="N473" s="114"/>
      <c r="O473" s="34"/>
      <c r="P473" s="34"/>
      <c r="Q473" s="2">
        <f t="shared" si="1305"/>
        <v>9</v>
      </c>
      <c r="R473" s="2">
        <f t="shared" si="1301"/>
        <v>-9</v>
      </c>
      <c r="S473" s="2"/>
      <c r="T473" s="2"/>
      <c r="U473" s="9">
        <f t="shared" ref="U473" si="1313">0.098*J473*M473*0.5*R473</f>
        <v>0</v>
      </c>
      <c r="V473" s="9">
        <f t="shared" ref="V473" si="1314">0.098*J473*M473*Q473</f>
        <v>0</v>
      </c>
      <c r="W473" s="8">
        <f t="shared" ref="W473" si="1315">0.098*J473*M473*(S473-T473)</f>
        <v>0</v>
      </c>
      <c r="X473" s="84"/>
      <c r="Y473" s="82"/>
      <c r="Z473" s="101">
        <f t="shared" ref="Z473" si="1316">_xlfn.STDEV.S(R470:R475)</f>
        <v>3.7416573867739413</v>
      </c>
    </row>
    <row r="474" spans="1:26" x14ac:dyDescent="0.2">
      <c r="A474" s="108"/>
      <c r="B474" s="111"/>
      <c r="C474" s="111"/>
      <c r="D474" s="111"/>
      <c r="E474" s="72"/>
      <c r="F474" s="72"/>
      <c r="G474" s="72"/>
      <c r="H474" s="72"/>
      <c r="I474" s="75"/>
      <c r="J474" s="87"/>
      <c r="K474" s="90"/>
      <c r="L474" s="93"/>
      <c r="M474" s="93"/>
      <c r="N474" s="114"/>
      <c r="O474" s="34"/>
      <c r="P474" s="34"/>
      <c r="Q474" s="2">
        <f t="shared" si="1305"/>
        <v>7</v>
      </c>
      <c r="R474" s="2">
        <f t="shared" si="1301"/>
        <v>-7</v>
      </c>
      <c r="S474" s="2"/>
      <c r="T474" s="2"/>
      <c r="U474" s="9">
        <f t="shared" ref="U474" si="1317">0.098*J473*M473*0.5*R474</f>
        <v>0</v>
      </c>
      <c r="V474" s="9">
        <f t="shared" ref="V474" si="1318">0.098*J473*M473*Q474</f>
        <v>0</v>
      </c>
      <c r="W474" s="8">
        <f t="shared" ref="W474" si="1319">0.098*J473*M473*(S474-T474)</f>
        <v>0</v>
      </c>
      <c r="X474" s="84"/>
      <c r="Y474" s="82"/>
      <c r="Z474" s="101"/>
    </row>
    <row r="475" spans="1:26" ht="17" thickBot="1" x14ac:dyDescent="0.25">
      <c r="A475" s="109"/>
      <c r="B475" s="112"/>
      <c r="C475" s="112"/>
      <c r="D475" s="112"/>
      <c r="E475" s="73"/>
      <c r="F475" s="73"/>
      <c r="G475" s="73"/>
      <c r="H475" s="73"/>
      <c r="I475" s="76"/>
      <c r="J475" s="97"/>
      <c r="K475" s="96"/>
      <c r="L475" s="95"/>
      <c r="M475" s="95"/>
      <c r="N475" s="114"/>
      <c r="O475" s="34"/>
      <c r="P475" s="34"/>
      <c r="Q475" s="2">
        <f t="shared" si="1305"/>
        <v>5</v>
      </c>
      <c r="R475" s="2">
        <f t="shared" si="1301"/>
        <v>-5</v>
      </c>
      <c r="S475" s="2"/>
      <c r="T475" s="2"/>
      <c r="U475" s="9">
        <f t="shared" ref="U475" si="1320">0.098*J473*M473*0.5*R475</f>
        <v>0</v>
      </c>
      <c r="V475" s="9">
        <f t="shared" ref="V475" si="1321">0.098*J473*M473*Q475</f>
        <v>0</v>
      </c>
      <c r="W475" s="8">
        <f t="shared" ref="W475" si="1322">0.098*J473*M473*(S475-T475)</f>
        <v>0</v>
      </c>
      <c r="X475" s="84"/>
      <c r="Y475" s="82"/>
      <c r="Z475" s="101"/>
    </row>
    <row r="476" spans="1:26" x14ac:dyDescent="0.2">
      <c r="A476" s="19">
        <f t="shared" si="1184"/>
        <v>33</v>
      </c>
      <c r="B476" s="3" t="s">
        <v>5</v>
      </c>
      <c r="C476" s="3"/>
      <c r="D476" s="3"/>
      <c r="E476" s="3"/>
      <c r="F476" s="3">
        <f t="shared" ref="F476" si="1323">IF(B476="M", 50 + 0.91*(D476-152.4), IF(B476="F", 45.5 + 0.91*(D476-152.4), ""))</f>
        <v>-88.683999999999997</v>
      </c>
      <c r="G476" s="3"/>
      <c r="H476" s="3" t="e">
        <f t="shared" ref="H476" si="1324">E476/(D476*10^-2)^2</f>
        <v>#DIV/0!</v>
      </c>
      <c r="I476" s="116" t="s">
        <v>15</v>
      </c>
      <c r="J476" s="70" t="s">
        <v>31</v>
      </c>
      <c r="K476" s="70" t="s">
        <v>33</v>
      </c>
      <c r="L476" s="70" t="s">
        <v>17</v>
      </c>
      <c r="M476" s="70" t="s">
        <v>0</v>
      </c>
      <c r="N476" s="114"/>
      <c r="O476" s="4" t="s">
        <v>6</v>
      </c>
      <c r="P476" s="4" t="s">
        <v>34</v>
      </c>
      <c r="Q476" s="6" t="s">
        <v>2</v>
      </c>
      <c r="R476" s="17" t="s">
        <v>1</v>
      </c>
      <c r="S476" s="17" t="s">
        <v>25</v>
      </c>
      <c r="T476" s="17" t="s">
        <v>26</v>
      </c>
      <c r="U476" s="7" t="s">
        <v>21</v>
      </c>
      <c r="V476" s="7" t="s">
        <v>22</v>
      </c>
      <c r="W476" s="7" t="s">
        <v>24</v>
      </c>
      <c r="X476" s="84"/>
      <c r="Y476" s="82"/>
      <c r="Z476" s="125" t="s">
        <v>39</v>
      </c>
    </row>
    <row r="477" spans="1:26" x14ac:dyDescent="0.2">
      <c r="A477" s="98"/>
      <c r="B477" s="99"/>
      <c r="C477" s="99"/>
      <c r="D477" s="99"/>
      <c r="E477" s="99"/>
      <c r="F477" s="99"/>
      <c r="G477" s="99"/>
      <c r="H477" s="100"/>
      <c r="I477" s="75"/>
      <c r="J477" s="68"/>
      <c r="K477" s="68"/>
      <c r="L477" s="68"/>
      <c r="M477" s="68"/>
      <c r="N477" s="114"/>
      <c r="O477" s="34"/>
      <c r="P477" s="34"/>
      <c r="Q477" s="2">
        <v>15</v>
      </c>
      <c r="R477" s="2">
        <f t="shared" ref="R477:R482" si="1325">T477-Q477</f>
        <v>-15</v>
      </c>
      <c r="S477" s="2"/>
      <c r="T477" s="2"/>
      <c r="U477" s="2">
        <f t="shared" ref="U477" si="1326">0.098*J480*M480*0.5*R477</f>
        <v>0</v>
      </c>
      <c r="V477" s="10">
        <f t="shared" ref="V477" si="1327">0.098*J480*M480*Q477</f>
        <v>0</v>
      </c>
      <c r="W477" s="2">
        <f t="shared" ref="W477" si="1328">0.098*J480*M480*(S477-T477)</f>
        <v>0</v>
      </c>
      <c r="X477" s="84"/>
      <c r="Y477" s="82"/>
      <c r="Z477" s="125"/>
    </row>
    <row r="478" spans="1:26" x14ac:dyDescent="0.2">
      <c r="A478" s="101"/>
      <c r="B478" s="102"/>
      <c r="C478" s="102"/>
      <c r="D478" s="102"/>
      <c r="E478" s="102"/>
      <c r="F478" s="102"/>
      <c r="G478" s="102"/>
      <c r="H478" s="103"/>
      <c r="I478" s="75"/>
      <c r="J478" s="68"/>
      <c r="K478" s="68"/>
      <c r="L478" s="68"/>
      <c r="M478" s="68"/>
      <c r="N478" s="114"/>
      <c r="O478" s="34"/>
      <c r="P478" s="34"/>
      <c r="Q478" s="2">
        <f t="shared" ref="Q478:Q482" si="1329">Q477-2</f>
        <v>13</v>
      </c>
      <c r="R478" s="2">
        <f t="shared" si="1325"/>
        <v>-13</v>
      </c>
      <c r="S478" s="2"/>
      <c r="T478" s="2"/>
      <c r="U478" s="2">
        <f t="shared" ref="U478" si="1330">0.098*J480*M480*0.5*R478</f>
        <v>0</v>
      </c>
      <c r="V478" s="10">
        <f t="shared" ref="V478" si="1331">0.098*J480*M480*Q478</f>
        <v>0</v>
      </c>
      <c r="W478" s="2">
        <f t="shared" ref="W478" si="1332">0.098*J480*M480*(S478-T478)</f>
        <v>0</v>
      </c>
      <c r="X478" s="84"/>
      <c r="Y478" s="82"/>
      <c r="Z478" s="125"/>
    </row>
    <row r="479" spans="1:26" x14ac:dyDescent="0.2">
      <c r="A479" s="101"/>
      <c r="B479" s="102"/>
      <c r="C479" s="102"/>
      <c r="D479" s="102"/>
      <c r="E479" s="102"/>
      <c r="F479" s="102"/>
      <c r="G479" s="102"/>
      <c r="H479" s="103"/>
      <c r="I479" s="75"/>
      <c r="J479" s="69"/>
      <c r="K479" s="69"/>
      <c r="L479" s="69"/>
      <c r="M479" s="69"/>
      <c r="N479" s="114"/>
      <c r="O479" s="34"/>
      <c r="P479" s="34"/>
      <c r="Q479" s="2">
        <f t="shared" si="1329"/>
        <v>11</v>
      </c>
      <c r="R479" s="2">
        <f t="shared" si="1325"/>
        <v>-11</v>
      </c>
      <c r="S479" s="2"/>
      <c r="T479" s="2"/>
      <c r="U479" s="2">
        <f t="shared" ref="U479" si="1333">0.098*J480*M480*0.5*R479</f>
        <v>0</v>
      </c>
      <c r="V479" s="10">
        <f t="shared" ref="V479" si="1334">0.098*J480*M480*Q479</f>
        <v>0</v>
      </c>
      <c r="W479" s="2">
        <f t="shared" ref="W479" si="1335">0.098*J480*M480*(S479-T479)</f>
        <v>0</v>
      </c>
      <c r="X479" s="84"/>
      <c r="Y479" s="82"/>
      <c r="Z479" s="125"/>
    </row>
    <row r="480" spans="1:26" x14ac:dyDescent="0.2">
      <c r="A480" s="101"/>
      <c r="B480" s="102"/>
      <c r="C480" s="102"/>
      <c r="D480" s="102"/>
      <c r="E480" s="102"/>
      <c r="F480" s="102"/>
      <c r="G480" s="102"/>
      <c r="H480" s="103"/>
      <c r="I480" s="75"/>
      <c r="J480" s="86">
        <f t="shared" ref="J480" si="1336">(9*F476)/1000</f>
        <v>-0.79815599999999998</v>
      </c>
      <c r="K480" s="89"/>
      <c r="L480" s="92"/>
      <c r="M480" s="92"/>
      <c r="N480" s="114"/>
      <c r="O480" s="34"/>
      <c r="P480" s="34"/>
      <c r="Q480" s="2">
        <f t="shared" si="1329"/>
        <v>9</v>
      </c>
      <c r="R480" s="2">
        <f t="shared" si="1325"/>
        <v>-9</v>
      </c>
      <c r="S480" s="2"/>
      <c r="T480" s="2"/>
      <c r="U480" s="2">
        <f t="shared" ref="U480" si="1337">0.098*J480*M480*0.5*R480</f>
        <v>0</v>
      </c>
      <c r="V480" s="10">
        <f t="shared" ref="V480" si="1338">0.098*J480*M480*Q480</f>
        <v>0</v>
      </c>
      <c r="W480" s="2">
        <f t="shared" ref="W480" si="1339">0.098*J480*M480*(S480-T480)</f>
        <v>0</v>
      </c>
      <c r="X480" s="84"/>
      <c r="Y480" s="82"/>
      <c r="Z480" s="101">
        <f t="shared" ref="Z480" si="1340">_xlfn.STDEV.S(R477:R482)</f>
        <v>3.7416573867739413</v>
      </c>
    </row>
    <row r="481" spans="1:26" x14ac:dyDescent="0.2">
      <c r="A481" s="101"/>
      <c r="B481" s="102"/>
      <c r="C481" s="102"/>
      <c r="D481" s="102"/>
      <c r="E481" s="102"/>
      <c r="F481" s="102"/>
      <c r="G481" s="102"/>
      <c r="H481" s="103"/>
      <c r="I481" s="75"/>
      <c r="J481" s="87"/>
      <c r="K481" s="90"/>
      <c r="L481" s="93"/>
      <c r="M481" s="93"/>
      <c r="N481" s="114"/>
      <c r="O481" s="34"/>
      <c r="P481" s="34"/>
      <c r="Q481" s="2">
        <f t="shared" si="1329"/>
        <v>7</v>
      </c>
      <c r="R481" s="2">
        <f t="shared" si="1325"/>
        <v>-7</v>
      </c>
      <c r="S481" s="2"/>
      <c r="T481" s="2"/>
      <c r="U481" s="2">
        <f t="shared" ref="U481" si="1341">0.098*J480*M480*0.5*R481</f>
        <v>0</v>
      </c>
      <c r="V481" s="10">
        <f t="shared" ref="V481" si="1342">0.098*J480*M480*Q481</f>
        <v>0</v>
      </c>
      <c r="W481" s="2">
        <f t="shared" ref="W481" si="1343">0.098*J480*M480*(S481-T481)</f>
        <v>0</v>
      </c>
      <c r="X481" s="84"/>
      <c r="Y481" s="82"/>
      <c r="Z481" s="101"/>
    </row>
    <row r="482" spans="1:26" ht="17" thickBot="1" x14ac:dyDescent="0.25">
      <c r="A482" s="104"/>
      <c r="B482" s="105"/>
      <c r="C482" s="105"/>
      <c r="D482" s="105"/>
      <c r="E482" s="105"/>
      <c r="F482" s="105"/>
      <c r="G482" s="105"/>
      <c r="H482" s="106"/>
      <c r="I482" s="117"/>
      <c r="J482" s="88"/>
      <c r="K482" s="91"/>
      <c r="L482" s="94"/>
      <c r="M482" s="94"/>
      <c r="N482" s="115"/>
      <c r="O482" s="35"/>
      <c r="P482" s="35"/>
      <c r="Q482" s="20">
        <f t="shared" si="1329"/>
        <v>5</v>
      </c>
      <c r="R482" s="2">
        <f t="shared" si="1325"/>
        <v>-5</v>
      </c>
      <c r="S482" s="20"/>
      <c r="T482" s="20"/>
      <c r="U482" s="20">
        <f t="shared" ref="U482" si="1344">0.098*J480*M480*0.5*R482</f>
        <v>0</v>
      </c>
      <c r="V482" s="21">
        <f t="shared" ref="V482" si="1345">0.098*J480*M480*Q482</f>
        <v>0</v>
      </c>
      <c r="W482" s="20">
        <f t="shared" ref="W482" si="1346">0.098*J480*M480*(S482-T482)</f>
        <v>0</v>
      </c>
      <c r="X482" s="85"/>
      <c r="Y482" s="83"/>
      <c r="Z482" s="101"/>
    </row>
    <row r="483" spans="1:26" x14ac:dyDescent="0.2">
      <c r="A483" s="107" t="s">
        <v>8</v>
      </c>
      <c r="B483" s="110" t="s">
        <v>3</v>
      </c>
      <c r="C483" s="110" t="s">
        <v>7</v>
      </c>
      <c r="D483" s="110" t="s">
        <v>9</v>
      </c>
      <c r="E483" s="71" t="s">
        <v>11</v>
      </c>
      <c r="F483" s="71" t="s">
        <v>10</v>
      </c>
      <c r="G483" s="71" t="s">
        <v>12</v>
      </c>
      <c r="H483" s="71" t="s">
        <v>32</v>
      </c>
      <c r="I483" s="74" t="s">
        <v>14</v>
      </c>
      <c r="J483" s="67" t="s">
        <v>31</v>
      </c>
      <c r="K483" s="67" t="s">
        <v>33</v>
      </c>
      <c r="L483" s="67" t="s">
        <v>17</v>
      </c>
      <c r="M483" s="67" t="s">
        <v>0</v>
      </c>
      <c r="N483" s="113" t="s">
        <v>16</v>
      </c>
      <c r="O483" s="4" t="s">
        <v>6</v>
      </c>
      <c r="P483" s="4" t="s">
        <v>34</v>
      </c>
      <c r="Q483" s="17" t="s">
        <v>2</v>
      </c>
      <c r="R483" s="17" t="s">
        <v>1</v>
      </c>
      <c r="S483" s="17" t="s">
        <v>25</v>
      </c>
      <c r="T483" s="17" t="s">
        <v>26</v>
      </c>
      <c r="U483" s="18" t="s">
        <v>20</v>
      </c>
      <c r="V483" s="18" t="s">
        <v>22</v>
      </c>
      <c r="W483" s="18" t="s">
        <v>24</v>
      </c>
      <c r="X483" s="77" t="s">
        <v>19</v>
      </c>
      <c r="Y483" s="79" t="s">
        <v>23</v>
      </c>
      <c r="Z483" s="125" t="s">
        <v>39</v>
      </c>
    </row>
    <row r="484" spans="1:26" x14ac:dyDescent="0.2">
      <c r="A484" s="108"/>
      <c r="B484" s="111"/>
      <c r="C484" s="111"/>
      <c r="D484" s="111"/>
      <c r="E484" s="72"/>
      <c r="F484" s="72"/>
      <c r="G484" s="72"/>
      <c r="H484" s="72"/>
      <c r="I484" s="75"/>
      <c r="J484" s="68"/>
      <c r="K484" s="68"/>
      <c r="L484" s="68"/>
      <c r="M484" s="68"/>
      <c r="N484" s="114"/>
      <c r="O484" s="34"/>
      <c r="P484" s="34"/>
      <c r="Q484" s="2">
        <v>15</v>
      </c>
      <c r="R484" s="2">
        <f t="shared" ref="R484:R489" si="1347">T484-Q484</f>
        <v>-15</v>
      </c>
      <c r="S484" s="2"/>
      <c r="T484" s="2"/>
      <c r="U484" s="9">
        <f t="shared" ref="U484" si="1348">0.098*J487*M487*0.5*R484</f>
        <v>0</v>
      </c>
      <c r="V484" s="9">
        <f t="shared" ref="V484" si="1349">0.098*J487*M487*Q484</f>
        <v>0</v>
      </c>
      <c r="W484" s="8">
        <f t="shared" ref="W484" si="1350">0.098*J487*M487*(S484-T484)</f>
        <v>0</v>
      </c>
      <c r="X484" s="78"/>
      <c r="Y484" s="80"/>
      <c r="Z484" s="125"/>
    </row>
    <row r="485" spans="1:26" x14ac:dyDescent="0.2">
      <c r="A485" s="108"/>
      <c r="B485" s="111"/>
      <c r="C485" s="111"/>
      <c r="D485" s="111"/>
      <c r="E485" s="72"/>
      <c r="F485" s="72"/>
      <c r="G485" s="72"/>
      <c r="H485" s="72"/>
      <c r="I485" s="75"/>
      <c r="J485" s="68"/>
      <c r="K485" s="68"/>
      <c r="L485" s="68"/>
      <c r="M485" s="68"/>
      <c r="N485" s="114"/>
      <c r="O485" s="34"/>
      <c r="P485" s="34"/>
      <c r="Q485" s="2">
        <f t="shared" ref="Q485:Q489" si="1351">Q484-2</f>
        <v>13</v>
      </c>
      <c r="R485" s="2">
        <f t="shared" si="1347"/>
        <v>-13</v>
      </c>
      <c r="S485" s="2"/>
      <c r="T485" s="2"/>
      <c r="U485" s="9">
        <f t="shared" ref="U485" si="1352">0.098*J487*M487*0.5*R485</f>
        <v>0</v>
      </c>
      <c r="V485" s="9">
        <f t="shared" ref="V485" si="1353">0.098*J487*M487*Q485</f>
        <v>0</v>
      </c>
      <c r="W485" s="8">
        <f t="shared" ref="W485" si="1354">0.098*J487*M487*(S485-T485)</f>
        <v>0</v>
      </c>
      <c r="X485" s="23"/>
      <c r="Y485" s="81"/>
      <c r="Z485" s="125"/>
    </row>
    <row r="486" spans="1:26" x14ac:dyDescent="0.2">
      <c r="A486" s="108"/>
      <c r="B486" s="111"/>
      <c r="C486" s="111"/>
      <c r="D486" s="111"/>
      <c r="E486" s="72"/>
      <c r="F486" s="72"/>
      <c r="G486" s="72"/>
      <c r="H486" s="72"/>
      <c r="I486" s="75"/>
      <c r="J486" s="69"/>
      <c r="K486" s="69"/>
      <c r="L486" s="69"/>
      <c r="M486" s="69"/>
      <c r="N486" s="114"/>
      <c r="O486" s="34"/>
      <c r="P486" s="34"/>
      <c r="Q486" s="2">
        <f t="shared" si="1351"/>
        <v>11</v>
      </c>
      <c r="R486" s="2">
        <f t="shared" si="1347"/>
        <v>-11</v>
      </c>
      <c r="S486" s="2"/>
      <c r="T486" s="2"/>
      <c r="U486" s="9">
        <f t="shared" ref="U486" si="1355">0.098*J487*M487*0.5*R486</f>
        <v>0</v>
      </c>
      <c r="V486" s="9">
        <f t="shared" ref="V486" si="1356">0.098*J487*M487*Q486</f>
        <v>0</v>
      </c>
      <c r="W486" s="8">
        <f t="shared" ref="W486" si="1357">0.098*J487*M487*(S486-T486)</f>
        <v>0</v>
      </c>
      <c r="X486" s="84"/>
      <c r="Y486" s="82"/>
      <c r="Z486" s="125"/>
    </row>
    <row r="487" spans="1:26" x14ac:dyDescent="0.2">
      <c r="A487" s="108"/>
      <c r="B487" s="111"/>
      <c r="C487" s="111"/>
      <c r="D487" s="111"/>
      <c r="E487" s="72"/>
      <c r="F487" s="72"/>
      <c r="G487" s="72"/>
      <c r="H487" s="72"/>
      <c r="I487" s="75"/>
      <c r="J487" s="86">
        <f t="shared" ref="J487" si="1358">(7*F490)/1000</f>
        <v>-0.62078800000000001</v>
      </c>
      <c r="K487" s="89"/>
      <c r="L487" s="92"/>
      <c r="M487" s="92"/>
      <c r="N487" s="114"/>
      <c r="O487" s="34"/>
      <c r="P487" s="34"/>
      <c r="Q487" s="2">
        <f t="shared" si="1351"/>
        <v>9</v>
      </c>
      <c r="R487" s="2">
        <f t="shared" si="1347"/>
        <v>-9</v>
      </c>
      <c r="S487" s="2"/>
      <c r="T487" s="2"/>
      <c r="U487" s="9">
        <f t="shared" ref="U487" si="1359">0.098*J487*M487*0.5*R487</f>
        <v>0</v>
      </c>
      <c r="V487" s="9">
        <f t="shared" ref="V487" si="1360">0.098*J487*M487*Q487</f>
        <v>0</v>
      </c>
      <c r="W487" s="8">
        <f t="shared" ref="W487" si="1361">0.098*J487*M487*(S487-T487)</f>
        <v>0</v>
      </c>
      <c r="X487" s="84"/>
      <c r="Y487" s="82"/>
      <c r="Z487" s="101">
        <f t="shared" ref="Z487" si="1362">_xlfn.STDEV.S(R484:R489)</f>
        <v>3.7416573867739413</v>
      </c>
    </row>
    <row r="488" spans="1:26" x14ac:dyDescent="0.2">
      <c r="A488" s="108"/>
      <c r="B488" s="111"/>
      <c r="C488" s="111"/>
      <c r="D488" s="111"/>
      <c r="E488" s="72"/>
      <c r="F488" s="72"/>
      <c r="G488" s="72"/>
      <c r="H488" s="72"/>
      <c r="I488" s="75"/>
      <c r="J488" s="87"/>
      <c r="K488" s="90"/>
      <c r="L488" s="93"/>
      <c r="M488" s="93"/>
      <c r="N488" s="114"/>
      <c r="O488" s="34"/>
      <c r="P488" s="34"/>
      <c r="Q488" s="2">
        <f t="shared" si="1351"/>
        <v>7</v>
      </c>
      <c r="R488" s="2">
        <f t="shared" si="1347"/>
        <v>-7</v>
      </c>
      <c r="S488" s="2"/>
      <c r="T488" s="2"/>
      <c r="U488" s="9">
        <f t="shared" ref="U488" si="1363">0.098*J487*M487*0.5*R488</f>
        <v>0</v>
      </c>
      <c r="V488" s="9">
        <f t="shared" ref="V488" si="1364">0.098*J487*M487*Q488</f>
        <v>0</v>
      </c>
      <c r="W488" s="8">
        <f t="shared" ref="W488" si="1365">0.098*J487*M487*(S488-T488)</f>
        <v>0</v>
      </c>
      <c r="X488" s="84"/>
      <c r="Y488" s="82"/>
      <c r="Z488" s="101"/>
    </row>
    <row r="489" spans="1:26" ht="17" thickBot="1" x14ac:dyDescent="0.25">
      <c r="A489" s="109"/>
      <c r="B489" s="112"/>
      <c r="C489" s="112"/>
      <c r="D489" s="112"/>
      <c r="E489" s="73"/>
      <c r="F489" s="73"/>
      <c r="G489" s="73"/>
      <c r="H489" s="73"/>
      <c r="I489" s="76"/>
      <c r="J489" s="97"/>
      <c r="K489" s="96"/>
      <c r="L489" s="95"/>
      <c r="M489" s="95"/>
      <c r="N489" s="114"/>
      <c r="O489" s="34"/>
      <c r="P489" s="34"/>
      <c r="Q489" s="2">
        <f t="shared" si="1351"/>
        <v>5</v>
      </c>
      <c r="R489" s="2">
        <f t="shared" si="1347"/>
        <v>-5</v>
      </c>
      <c r="S489" s="2"/>
      <c r="T489" s="2"/>
      <c r="U489" s="9">
        <f t="shared" ref="U489" si="1366">0.098*J487*M487*0.5*R489</f>
        <v>0</v>
      </c>
      <c r="V489" s="9">
        <f t="shared" ref="V489" si="1367">0.098*J487*M487*Q489</f>
        <v>0</v>
      </c>
      <c r="W489" s="8">
        <f t="shared" ref="W489" si="1368">0.098*J487*M487*(S489-T489)</f>
        <v>0</v>
      </c>
      <c r="X489" s="84"/>
      <c r="Y489" s="82"/>
      <c r="Z489" s="101"/>
    </row>
    <row r="490" spans="1:26" x14ac:dyDescent="0.2">
      <c r="A490" s="19">
        <f t="shared" si="1184"/>
        <v>34</v>
      </c>
      <c r="B490" s="3" t="s">
        <v>5</v>
      </c>
      <c r="C490" s="3"/>
      <c r="D490" s="3"/>
      <c r="E490" s="3"/>
      <c r="F490" s="3">
        <f t="shared" ref="F490" si="1369">IF(B490="M", 50 + 0.91*(D490-152.4), IF(B490="F", 45.5 + 0.91*(D490-152.4), ""))</f>
        <v>-88.683999999999997</v>
      </c>
      <c r="G490" s="3"/>
      <c r="H490" s="3" t="e">
        <f t="shared" ref="H490" si="1370">E490/(D490*10^-2)^2</f>
        <v>#DIV/0!</v>
      </c>
      <c r="I490" s="116" t="s">
        <v>15</v>
      </c>
      <c r="J490" s="70" t="s">
        <v>31</v>
      </c>
      <c r="K490" s="70" t="s">
        <v>33</v>
      </c>
      <c r="L490" s="70" t="s">
        <v>17</v>
      </c>
      <c r="M490" s="70" t="s">
        <v>0</v>
      </c>
      <c r="N490" s="114"/>
      <c r="O490" s="4" t="s">
        <v>6</v>
      </c>
      <c r="P490" s="4" t="s">
        <v>34</v>
      </c>
      <c r="Q490" s="6" t="s">
        <v>2</v>
      </c>
      <c r="R490" s="17" t="s">
        <v>1</v>
      </c>
      <c r="S490" s="17" t="s">
        <v>25</v>
      </c>
      <c r="T490" s="17" t="s">
        <v>26</v>
      </c>
      <c r="U490" s="7" t="s">
        <v>21</v>
      </c>
      <c r="V490" s="7" t="s">
        <v>22</v>
      </c>
      <c r="W490" s="7" t="s">
        <v>24</v>
      </c>
      <c r="X490" s="84"/>
      <c r="Y490" s="82"/>
      <c r="Z490" s="125" t="s">
        <v>39</v>
      </c>
    </row>
    <row r="491" spans="1:26" x14ac:dyDescent="0.2">
      <c r="A491" s="98"/>
      <c r="B491" s="99"/>
      <c r="C491" s="99"/>
      <c r="D491" s="99"/>
      <c r="E491" s="99"/>
      <c r="F491" s="99"/>
      <c r="G491" s="99"/>
      <c r="H491" s="100"/>
      <c r="I491" s="75"/>
      <c r="J491" s="68"/>
      <c r="K491" s="68"/>
      <c r="L491" s="68"/>
      <c r="M491" s="68"/>
      <c r="N491" s="114"/>
      <c r="O491" s="34"/>
      <c r="P491" s="34"/>
      <c r="Q491" s="2">
        <v>15</v>
      </c>
      <c r="R491" s="2">
        <f t="shared" ref="R491:R496" si="1371">T491-Q491</f>
        <v>-15</v>
      </c>
      <c r="S491" s="2"/>
      <c r="T491" s="2"/>
      <c r="U491" s="2">
        <f t="shared" ref="U491" si="1372">0.098*J494*M494*0.5*R491</f>
        <v>0</v>
      </c>
      <c r="V491" s="10">
        <f t="shared" ref="V491" si="1373">0.098*J494*M494*Q491</f>
        <v>0</v>
      </c>
      <c r="W491" s="2">
        <f t="shared" ref="W491" si="1374">0.098*J494*M494*(S491-T491)</f>
        <v>0</v>
      </c>
      <c r="X491" s="84"/>
      <c r="Y491" s="82"/>
      <c r="Z491" s="125"/>
    </row>
    <row r="492" spans="1:26" x14ac:dyDescent="0.2">
      <c r="A492" s="101"/>
      <c r="B492" s="102"/>
      <c r="C492" s="102"/>
      <c r="D492" s="102"/>
      <c r="E492" s="102"/>
      <c r="F492" s="102"/>
      <c r="G492" s="102"/>
      <c r="H492" s="103"/>
      <c r="I492" s="75"/>
      <c r="J492" s="68"/>
      <c r="K492" s="68"/>
      <c r="L492" s="68"/>
      <c r="M492" s="68"/>
      <c r="N492" s="114"/>
      <c r="O492" s="34"/>
      <c r="P492" s="34"/>
      <c r="Q492" s="2">
        <f t="shared" ref="Q492:Q496" si="1375">Q491-2</f>
        <v>13</v>
      </c>
      <c r="R492" s="2">
        <f t="shared" si="1371"/>
        <v>-13</v>
      </c>
      <c r="S492" s="2"/>
      <c r="T492" s="2"/>
      <c r="U492" s="2">
        <f t="shared" ref="U492" si="1376">0.098*J494*M494*0.5*R492</f>
        <v>0</v>
      </c>
      <c r="V492" s="10">
        <f t="shared" ref="V492" si="1377">0.098*J494*M494*Q492</f>
        <v>0</v>
      </c>
      <c r="W492" s="2">
        <f t="shared" ref="W492" si="1378">0.098*J494*M494*(S492-T492)</f>
        <v>0</v>
      </c>
      <c r="X492" s="84"/>
      <c r="Y492" s="82"/>
      <c r="Z492" s="125"/>
    </row>
    <row r="493" spans="1:26" x14ac:dyDescent="0.2">
      <c r="A493" s="101"/>
      <c r="B493" s="102"/>
      <c r="C493" s="102"/>
      <c r="D493" s="102"/>
      <c r="E493" s="102"/>
      <c r="F493" s="102"/>
      <c r="G493" s="102"/>
      <c r="H493" s="103"/>
      <c r="I493" s="75"/>
      <c r="J493" s="69"/>
      <c r="K493" s="69"/>
      <c r="L493" s="69"/>
      <c r="M493" s="69"/>
      <c r="N493" s="114"/>
      <c r="O493" s="34"/>
      <c r="P493" s="34"/>
      <c r="Q493" s="2">
        <f t="shared" si="1375"/>
        <v>11</v>
      </c>
      <c r="R493" s="2">
        <f t="shared" si="1371"/>
        <v>-11</v>
      </c>
      <c r="S493" s="2"/>
      <c r="T493" s="2"/>
      <c r="U493" s="2">
        <f t="shared" ref="U493" si="1379">0.098*J494*M494*0.5*R493</f>
        <v>0</v>
      </c>
      <c r="V493" s="10">
        <f t="shared" ref="V493" si="1380">0.098*J494*M494*Q493</f>
        <v>0</v>
      </c>
      <c r="W493" s="2">
        <f t="shared" ref="W493" si="1381">0.098*J494*M494*(S493-T493)</f>
        <v>0</v>
      </c>
      <c r="X493" s="84"/>
      <c r="Y493" s="82"/>
      <c r="Z493" s="125"/>
    </row>
    <row r="494" spans="1:26" x14ac:dyDescent="0.2">
      <c r="A494" s="101"/>
      <c r="B494" s="102"/>
      <c r="C494" s="102"/>
      <c r="D494" s="102"/>
      <c r="E494" s="102"/>
      <c r="F494" s="102"/>
      <c r="G494" s="102"/>
      <c r="H494" s="103"/>
      <c r="I494" s="75"/>
      <c r="J494" s="86">
        <f t="shared" ref="J494" si="1382">(9*F490)/1000</f>
        <v>-0.79815599999999998</v>
      </c>
      <c r="K494" s="89"/>
      <c r="L494" s="92"/>
      <c r="M494" s="92"/>
      <c r="N494" s="114"/>
      <c r="O494" s="34"/>
      <c r="P494" s="34"/>
      <c r="Q494" s="2">
        <f t="shared" si="1375"/>
        <v>9</v>
      </c>
      <c r="R494" s="2">
        <f t="shared" si="1371"/>
        <v>-9</v>
      </c>
      <c r="S494" s="2"/>
      <c r="T494" s="2"/>
      <c r="U494" s="2">
        <f t="shared" ref="U494" si="1383">0.098*J494*M494*0.5*R494</f>
        <v>0</v>
      </c>
      <c r="V494" s="10">
        <f t="shared" ref="V494" si="1384">0.098*J494*M494*Q494</f>
        <v>0</v>
      </c>
      <c r="W494" s="2">
        <f t="shared" ref="W494" si="1385">0.098*J494*M494*(S494-T494)</f>
        <v>0</v>
      </c>
      <c r="X494" s="84"/>
      <c r="Y494" s="82"/>
      <c r="Z494" s="101">
        <f t="shared" ref="Z494" si="1386">_xlfn.STDEV.S(R491:R496)</f>
        <v>3.7416573867739413</v>
      </c>
    </row>
    <row r="495" spans="1:26" x14ac:dyDescent="0.2">
      <c r="A495" s="101"/>
      <c r="B495" s="102"/>
      <c r="C495" s="102"/>
      <c r="D495" s="102"/>
      <c r="E495" s="102"/>
      <c r="F495" s="102"/>
      <c r="G495" s="102"/>
      <c r="H495" s="103"/>
      <c r="I495" s="75"/>
      <c r="J495" s="87"/>
      <c r="K495" s="90"/>
      <c r="L495" s="93"/>
      <c r="M495" s="93"/>
      <c r="N495" s="114"/>
      <c r="O495" s="34"/>
      <c r="P495" s="34"/>
      <c r="Q495" s="2">
        <f t="shared" si="1375"/>
        <v>7</v>
      </c>
      <c r="R495" s="2">
        <f t="shared" si="1371"/>
        <v>-7</v>
      </c>
      <c r="S495" s="2"/>
      <c r="T495" s="2"/>
      <c r="U495" s="2">
        <f t="shared" ref="U495" si="1387">0.098*J494*M494*0.5*R495</f>
        <v>0</v>
      </c>
      <c r="V495" s="10">
        <f t="shared" ref="V495" si="1388">0.098*J494*M494*Q495</f>
        <v>0</v>
      </c>
      <c r="W495" s="2">
        <f t="shared" ref="W495" si="1389">0.098*J494*M494*(S495-T495)</f>
        <v>0</v>
      </c>
      <c r="X495" s="84"/>
      <c r="Y495" s="82"/>
      <c r="Z495" s="101"/>
    </row>
    <row r="496" spans="1:26" ht="17" thickBot="1" x14ac:dyDescent="0.25">
      <c r="A496" s="104"/>
      <c r="B496" s="105"/>
      <c r="C496" s="105"/>
      <c r="D496" s="105"/>
      <c r="E496" s="105"/>
      <c r="F496" s="105"/>
      <c r="G496" s="105"/>
      <c r="H496" s="106"/>
      <c r="I496" s="117"/>
      <c r="J496" s="88"/>
      <c r="K496" s="91"/>
      <c r="L496" s="94"/>
      <c r="M496" s="94"/>
      <c r="N496" s="115"/>
      <c r="O496" s="35"/>
      <c r="P496" s="35"/>
      <c r="Q496" s="20">
        <f t="shared" si="1375"/>
        <v>5</v>
      </c>
      <c r="R496" s="2">
        <f t="shared" si="1371"/>
        <v>-5</v>
      </c>
      <c r="S496" s="20"/>
      <c r="T496" s="20"/>
      <c r="U496" s="20">
        <f t="shared" ref="U496" si="1390">0.098*J494*M494*0.5*R496</f>
        <v>0</v>
      </c>
      <c r="V496" s="21">
        <f t="shared" ref="V496" si="1391">0.098*J494*M494*Q496</f>
        <v>0</v>
      </c>
      <c r="W496" s="20">
        <f t="shared" ref="W496" si="1392">0.098*J494*M494*(S496-T496)</f>
        <v>0</v>
      </c>
      <c r="X496" s="85"/>
      <c r="Y496" s="83"/>
      <c r="Z496" s="101"/>
    </row>
    <row r="497" spans="1:26" x14ac:dyDescent="0.2">
      <c r="A497" s="107" t="s">
        <v>8</v>
      </c>
      <c r="B497" s="110" t="s">
        <v>3</v>
      </c>
      <c r="C497" s="110" t="s">
        <v>7</v>
      </c>
      <c r="D497" s="110" t="s">
        <v>9</v>
      </c>
      <c r="E497" s="71" t="s">
        <v>11</v>
      </c>
      <c r="F497" s="71" t="s">
        <v>10</v>
      </c>
      <c r="G497" s="71" t="s">
        <v>12</v>
      </c>
      <c r="H497" s="71" t="s">
        <v>32</v>
      </c>
      <c r="I497" s="74" t="s">
        <v>14</v>
      </c>
      <c r="J497" s="67" t="s">
        <v>31</v>
      </c>
      <c r="K497" s="67" t="s">
        <v>33</v>
      </c>
      <c r="L497" s="67" t="s">
        <v>17</v>
      </c>
      <c r="M497" s="67" t="s">
        <v>0</v>
      </c>
      <c r="N497" s="113" t="s">
        <v>16</v>
      </c>
      <c r="O497" s="4" t="s">
        <v>6</v>
      </c>
      <c r="P497" s="4" t="s">
        <v>34</v>
      </c>
      <c r="Q497" s="17" t="s">
        <v>2</v>
      </c>
      <c r="R497" s="17" t="s">
        <v>1</v>
      </c>
      <c r="S497" s="17" t="s">
        <v>25</v>
      </c>
      <c r="T497" s="17" t="s">
        <v>26</v>
      </c>
      <c r="U497" s="18" t="s">
        <v>20</v>
      </c>
      <c r="V497" s="18" t="s">
        <v>22</v>
      </c>
      <c r="W497" s="18" t="s">
        <v>24</v>
      </c>
      <c r="X497" s="77" t="s">
        <v>19</v>
      </c>
      <c r="Y497" s="79" t="s">
        <v>23</v>
      </c>
      <c r="Z497" s="125" t="s">
        <v>39</v>
      </c>
    </row>
    <row r="498" spans="1:26" x14ac:dyDescent="0.2">
      <c r="A498" s="108"/>
      <c r="B498" s="111"/>
      <c r="C498" s="111"/>
      <c r="D498" s="111"/>
      <c r="E498" s="72"/>
      <c r="F498" s="72"/>
      <c r="G498" s="72"/>
      <c r="H498" s="72"/>
      <c r="I498" s="75"/>
      <c r="J498" s="68"/>
      <c r="K498" s="68"/>
      <c r="L498" s="68"/>
      <c r="M498" s="68"/>
      <c r="N498" s="114"/>
      <c r="O498" s="34"/>
      <c r="P498" s="34"/>
      <c r="Q498" s="2">
        <v>15</v>
      </c>
      <c r="R498" s="2">
        <f t="shared" ref="R498:R503" si="1393">T498-Q498</f>
        <v>-15</v>
      </c>
      <c r="S498" s="2"/>
      <c r="T498" s="2"/>
      <c r="U498" s="9">
        <f t="shared" ref="U498" si="1394">0.098*J501*M501*0.5*R498</f>
        <v>0</v>
      </c>
      <c r="V498" s="9">
        <f t="shared" ref="V498" si="1395">0.098*J501*M501*Q498</f>
        <v>0</v>
      </c>
      <c r="W498" s="8">
        <f t="shared" ref="W498" si="1396">0.098*J501*M501*(S498-T498)</f>
        <v>0</v>
      </c>
      <c r="X498" s="78"/>
      <c r="Y498" s="80"/>
      <c r="Z498" s="125"/>
    </row>
    <row r="499" spans="1:26" x14ac:dyDescent="0.2">
      <c r="A499" s="108"/>
      <c r="B499" s="111"/>
      <c r="C499" s="111"/>
      <c r="D499" s="111"/>
      <c r="E499" s="72"/>
      <c r="F499" s="72"/>
      <c r="G499" s="72"/>
      <c r="H499" s="72"/>
      <c r="I499" s="75"/>
      <c r="J499" s="68"/>
      <c r="K499" s="68"/>
      <c r="L499" s="68"/>
      <c r="M499" s="68"/>
      <c r="N499" s="114"/>
      <c r="O499" s="34"/>
      <c r="P499" s="34"/>
      <c r="Q499" s="2">
        <f t="shared" ref="Q499:Q503" si="1397">Q498-2</f>
        <v>13</v>
      </c>
      <c r="R499" s="2">
        <f t="shared" si="1393"/>
        <v>-13</v>
      </c>
      <c r="S499" s="2"/>
      <c r="T499" s="2"/>
      <c r="U499" s="9">
        <f t="shared" ref="U499" si="1398">0.098*J501*M501*0.5*R499</f>
        <v>0</v>
      </c>
      <c r="V499" s="9">
        <f t="shared" ref="V499" si="1399">0.098*J501*M501*Q499</f>
        <v>0</v>
      </c>
      <c r="W499" s="8">
        <f t="shared" ref="W499" si="1400">0.098*J501*M501*(S499-T499)</f>
        <v>0</v>
      </c>
      <c r="X499" s="23"/>
      <c r="Y499" s="81"/>
      <c r="Z499" s="125"/>
    </row>
    <row r="500" spans="1:26" x14ac:dyDescent="0.2">
      <c r="A500" s="108"/>
      <c r="B500" s="111"/>
      <c r="C500" s="111"/>
      <c r="D500" s="111"/>
      <c r="E500" s="72"/>
      <c r="F500" s="72"/>
      <c r="G500" s="72"/>
      <c r="H500" s="72"/>
      <c r="I500" s="75"/>
      <c r="J500" s="69"/>
      <c r="K500" s="69"/>
      <c r="L500" s="69"/>
      <c r="M500" s="69"/>
      <c r="N500" s="114"/>
      <c r="O500" s="34"/>
      <c r="P500" s="34"/>
      <c r="Q500" s="2">
        <f t="shared" si="1397"/>
        <v>11</v>
      </c>
      <c r="R500" s="2">
        <f t="shared" si="1393"/>
        <v>-11</v>
      </c>
      <c r="S500" s="2"/>
      <c r="T500" s="2"/>
      <c r="U500" s="9">
        <f t="shared" ref="U500" si="1401">0.098*J501*M501*0.5*R500</f>
        <v>0</v>
      </c>
      <c r="V500" s="9">
        <f t="shared" ref="V500" si="1402">0.098*J501*M501*Q500</f>
        <v>0</v>
      </c>
      <c r="W500" s="8">
        <f t="shared" ref="W500" si="1403">0.098*J501*M501*(S500-T500)</f>
        <v>0</v>
      </c>
      <c r="X500" s="84"/>
      <c r="Y500" s="82"/>
      <c r="Z500" s="125"/>
    </row>
    <row r="501" spans="1:26" x14ac:dyDescent="0.2">
      <c r="A501" s="108"/>
      <c r="B501" s="111"/>
      <c r="C501" s="111"/>
      <c r="D501" s="111"/>
      <c r="E501" s="72"/>
      <c r="F501" s="72"/>
      <c r="G501" s="72"/>
      <c r="H501" s="72"/>
      <c r="I501" s="75"/>
      <c r="J501" s="86">
        <f t="shared" ref="J501" si="1404">(7*F504)/1000</f>
        <v>-0.62078800000000001</v>
      </c>
      <c r="K501" s="89"/>
      <c r="L501" s="92"/>
      <c r="M501" s="92"/>
      <c r="N501" s="114"/>
      <c r="O501" s="34"/>
      <c r="P501" s="34"/>
      <c r="Q501" s="2">
        <f t="shared" si="1397"/>
        <v>9</v>
      </c>
      <c r="R501" s="2">
        <f t="shared" si="1393"/>
        <v>-9</v>
      </c>
      <c r="S501" s="2"/>
      <c r="T501" s="2"/>
      <c r="U501" s="9">
        <f t="shared" ref="U501" si="1405">0.098*J501*M501*0.5*R501</f>
        <v>0</v>
      </c>
      <c r="V501" s="9">
        <f t="shared" ref="V501" si="1406">0.098*J501*M501*Q501</f>
        <v>0</v>
      </c>
      <c r="W501" s="8">
        <f t="shared" ref="W501" si="1407">0.098*J501*M501*(S501-T501)</f>
        <v>0</v>
      </c>
      <c r="X501" s="84"/>
      <c r="Y501" s="82"/>
      <c r="Z501" s="101">
        <f t="shared" ref="Z501" si="1408">_xlfn.STDEV.S(R498:R503)</f>
        <v>3.7416573867739413</v>
      </c>
    </row>
    <row r="502" spans="1:26" x14ac:dyDescent="0.2">
      <c r="A502" s="108"/>
      <c r="B502" s="111"/>
      <c r="C502" s="111"/>
      <c r="D502" s="111"/>
      <c r="E502" s="72"/>
      <c r="F502" s="72"/>
      <c r="G502" s="72"/>
      <c r="H502" s="72"/>
      <c r="I502" s="75"/>
      <c r="J502" s="87"/>
      <c r="K502" s="90"/>
      <c r="L502" s="93"/>
      <c r="M502" s="93"/>
      <c r="N502" s="114"/>
      <c r="O502" s="34"/>
      <c r="P502" s="34"/>
      <c r="Q502" s="2">
        <f t="shared" si="1397"/>
        <v>7</v>
      </c>
      <c r="R502" s="2">
        <f t="shared" si="1393"/>
        <v>-7</v>
      </c>
      <c r="S502" s="2"/>
      <c r="T502" s="2"/>
      <c r="U502" s="9">
        <f t="shared" ref="U502" si="1409">0.098*J501*M501*0.5*R502</f>
        <v>0</v>
      </c>
      <c r="V502" s="9">
        <f t="shared" ref="V502" si="1410">0.098*J501*M501*Q502</f>
        <v>0</v>
      </c>
      <c r="W502" s="8">
        <f t="shared" ref="W502" si="1411">0.098*J501*M501*(S502-T502)</f>
        <v>0</v>
      </c>
      <c r="X502" s="84"/>
      <c r="Y502" s="82"/>
      <c r="Z502" s="101"/>
    </row>
    <row r="503" spans="1:26" ht="17" thickBot="1" x14ac:dyDescent="0.25">
      <c r="A503" s="109"/>
      <c r="B503" s="112"/>
      <c r="C503" s="112"/>
      <c r="D503" s="112"/>
      <c r="E503" s="73"/>
      <c r="F503" s="73"/>
      <c r="G503" s="73"/>
      <c r="H503" s="73"/>
      <c r="I503" s="76"/>
      <c r="J503" s="97"/>
      <c r="K503" s="96"/>
      <c r="L503" s="95"/>
      <c r="M503" s="95"/>
      <c r="N503" s="114"/>
      <c r="O503" s="34"/>
      <c r="P503" s="34"/>
      <c r="Q503" s="2">
        <f t="shared" si="1397"/>
        <v>5</v>
      </c>
      <c r="R503" s="2">
        <f t="shared" si="1393"/>
        <v>-5</v>
      </c>
      <c r="S503" s="2"/>
      <c r="T503" s="2"/>
      <c r="U503" s="9">
        <f t="shared" ref="U503" si="1412">0.098*J501*M501*0.5*R503</f>
        <v>0</v>
      </c>
      <c r="V503" s="9">
        <f t="shared" ref="V503" si="1413">0.098*J501*M501*Q503</f>
        <v>0</v>
      </c>
      <c r="W503" s="8">
        <f t="shared" ref="W503" si="1414">0.098*J501*M501*(S503-T503)</f>
        <v>0</v>
      </c>
      <c r="X503" s="84"/>
      <c r="Y503" s="82"/>
      <c r="Z503" s="101"/>
    </row>
    <row r="504" spans="1:26" x14ac:dyDescent="0.2">
      <c r="A504" s="19">
        <f t="shared" ref="A504:A560" si="1415">A490+1</f>
        <v>35</v>
      </c>
      <c r="B504" s="3" t="s">
        <v>5</v>
      </c>
      <c r="C504" s="3"/>
      <c r="D504" s="3"/>
      <c r="E504" s="3"/>
      <c r="F504" s="3">
        <f t="shared" ref="F504" si="1416">IF(B504="M", 50 + 0.91*(D504-152.4), IF(B504="F", 45.5 + 0.91*(D504-152.4), ""))</f>
        <v>-88.683999999999997</v>
      </c>
      <c r="G504" s="3"/>
      <c r="H504" s="3" t="e">
        <f t="shared" ref="H504" si="1417">E504/(D504*10^-2)^2</f>
        <v>#DIV/0!</v>
      </c>
      <c r="I504" s="116" t="s">
        <v>15</v>
      </c>
      <c r="J504" s="70" t="s">
        <v>31</v>
      </c>
      <c r="K504" s="70" t="s">
        <v>33</v>
      </c>
      <c r="L504" s="70" t="s">
        <v>17</v>
      </c>
      <c r="M504" s="70" t="s">
        <v>0</v>
      </c>
      <c r="N504" s="114"/>
      <c r="O504" s="4" t="s">
        <v>6</v>
      </c>
      <c r="P504" s="4" t="s">
        <v>34</v>
      </c>
      <c r="Q504" s="6" t="s">
        <v>2</v>
      </c>
      <c r="R504" s="17" t="s">
        <v>1</v>
      </c>
      <c r="S504" s="17" t="s">
        <v>25</v>
      </c>
      <c r="T504" s="17" t="s">
        <v>26</v>
      </c>
      <c r="U504" s="7" t="s">
        <v>21</v>
      </c>
      <c r="V504" s="7" t="s">
        <v>22</v>
      </c>
      <c r="W504" s="7" t="s">
        <v>24</v>
      </c>
      <c r="X504" s="84"/>
      <c r="Y504" s="82"/>
      <c r="Z504" s="125" t="s">
        <v>39</v>
      </c>
    </row>
    <row r="505" spans="1:26" x14ac:dyDescent="0.2">
      <c r="A505" s="98"/>
      <c r="B505" s="99"/>
      <c r="C505" s="99"/>
      <c r="D505" s="99"/>
      <c r="E505" s="99"/>
      <c r="F505" s="99"/>
      <c r="G505" s="99"/>
      <c r="H505" s="100"/>
      <c r="I505" s="75"/>
      <c r="J505" s="68"/>
      <c r="K505" s="68"/>
      <c r="L505" s="68"/>
      <c r="M505" s="68"/>
      <c r="N505" s="114"/>
      <c r="O505" s="34"/>
      <c r="P505" s="34"/>
      <c r="Q505" s="2">
        <v>15</v>
      </c>
      <c r="R505" s="2">
        <f t="shared" ref="R505:R510" si="1418">T505-Q505</f>
        <v>-15</v>
      </c>
      <c r="S505" s="2"/>
      <c r="T505" s="2"/>
      <c r="U505" s="2">
        <f t="shared" ref="U505" si="1419">0.098*J508*M508*0.5*R505</f>
        <v>0</v>
      </c>
      <c r="V505" s="10">
        <f t="shared" ref="V505" si="1420">0.098*J508*M508*Q505</f>
        <v>0</v>
      </c>
      <c r="W505" s="2">
        <f t="shared" ref="W505" si="1421">0.098*J508*M508*(S505-T505)</f>
        <v>0</v>
      </c>
      <c r="X505" s="84"/>
      <c r="Y505" s="82"/>
      <c r="Z505" s="125"/>
    </row>
    <row r="506" spans="1:26" x14ac:dyDescent="0.2">
      <c r="A506" s="101"/>
      <c r="B506" s="102"/>
      <c r="C506" s="102"/>
      <c r="D506" s="102"/>
      <c r="E506" s="102"/>
      <c r="F506" s="102"/>
      <c r="G506" s="102"/>
      <c r="H506" s="103"/>
      <c r="I506" s="75"/>
      <c r="J506" s="68"/>
      <c r="K506" s="68"/>
      <c r="L506" s="68"/>
      <c r="M506" s="68"/>
      <c r="N506" s="114"/>
      <c r="O506" s="34"/>
      <c r="P506" s="34"/>
      <c r="Q506" s="2">
        <f t="shared" ref="Q506:Q510" si="1422">Q505-2</f>
        <v>13</v>
      </c>
      <c r="R506" s="2">
        <f t="shared" si="1418"/>
        <v>-13</v>
      </c>
      <c r="S506" s="2"/>
      <c r="T506" s="2"/>
      <c r="U506" s="2">
        <f t="shared" ref="U506" si="1423">0.098*J508*M508*0.5*R506</f>
        <v>0</v>
      </c>
      <c r="V506" s="10">
        <f t="shared" ref="V506" si="1424">0.098*J508*M508*Q506</f>
        <v>0</v>
      </c>
      <c r="W506" s="2">
        <f t="shared" ref="W506" si="1425">0.098*J508*M508*(S506-T506)</f>
        <v>0</v>
      </c>
      <c r="X506" s="84"/>
      <c r="Y506" s="82"/>
      <c r="Z506" s="125"/>
    </row>
    <row r="507" spans="1:26" x14ac:dyDescent="0.2">
      <c r="A507" s="101"/>
      <c r="B507" s="102"/>
      <c r="C507" s="102"/>
      <c r="D507" s="102"/>
      <c r="E507" s="102"/>
      <c r="F507" s="102"/>
      <c r="G507" s="102"/>
      <c r="H507" s="103"/>
      <c r="I507" s="75"/>
      <c r="J507" s="69"/>
      <c r="K507" s="69"/>
      <c r="L507" s="69"/>
      <c r="M507" s="69"/>
      <c r="N507" s="114"/>
      <c r="O507" s="34"/>
      <c r="P507" s="34"/>
      <c r="Q507" s="2">
        <f t="shared" si="1422"/>
        <v>11</v>
      </c>
      <c r="R507" s="2">
        <f t="shared" si="1418"/>
        <v>-11</v>
      </c>
      <c r="S507" s="2"/>
      <c r="T507" s="2"/>
      <c r="U507" s="2">
        <f t="shared" ref="U507" si="1426">0.098*J508*M508*0.5*R507</f>
        <v>0</v>
      </c>
      <c r="V507" s="10">
        <f t="shared" ref="V507" si="1427">0.098*J508*M508*Q507</f>
        <v>0</v>
      </c>
      <c r="W507" s="2">
        <f t="shared" ref="W507" si="1428">0.098*J508*M508*(S507-T507)</f>
        <v>0</v>
      </c>
      <c r="X507" s="84"/>
      <c r="Y507" s="82"/>
      <c r="Z507" s="125"/>
    </row>
    <row r="508" spans="1:26" x14ac:dyDescent="0.2">
      <c r="A508" s="101"/>
      <c r="B508" s="102"/>
      <c r="C508" s="102"/>
      <c r="D508" s="102"/>
      <c r="E508" s="102"/>
      <c r="F508" s="102"/>
      <c r="G508" s="102"/>
      <c r="H508" s="103"/>
      <c r="I508" s="75"/>
      <c r="J508" s="86">
        <f t="shared" ref="J508" si="1429">(9*F504)/1000</f>
        <v>-0.79815599999999998</v>
      </c>
      <c r="K508" s="89"/>
      <c r="L508" s="92"/>
      <c r="M508" s="92"/>
      <c r="N508" s="114"/>
      <c r="O508" s="34"/>
      <c r="P508" s="34"/>
      <c r="Q508" s="2">
        <f t="shared" si="1422"/>
        <v>9</v>
      </c>
      <c r="R508" s="2">
        <f t="shared" si="1418"/>
        <v>-9</v>
      </c>
      <c r="S508" s="2"/>
      <c r="T508" s="2"/>
      <c r="U508" s="2">
        <f t="shared" ref="U508" si="1430">0.098*J508*M508*0.5*R508</f>
        <v>0</v>
      </c>
      <c r="V508" s="10">
        <f t="shared" ref="V508" si="1431">0.098*J508*M508*Q508</f>
        <v>0</v>
      </c>
      <c r="W508" s="2">
        <f t="shared" ref="W508" si="1432">0.098*J508*M508*(S508-T508)</f>
        <v>0</v>
      </c>
      <c r="X508" s="84"/>
      <c r="Y508" s="82"/>
      <c r="Z508" s="101">
        <f t="shared" ref="Z508" si="1433">_xlfn.STDEV.S(R505:R510)</f>
        <v>3.7416573867739413</v>
      </c>
    </row>
    <row r="509" spans="1:26" x14ac:dyDescent="0.2">
      <c r="A509" s="101"/>
      <c r="B509" s="102"/>
      <c r="C509" s="102"/>
      <c r="D509" s="102"/>
      <c r="E509" s="102"/>
      <c r="F509" s="102"/>
      <c r="G509" s="102"/>
      <c r="H509" s="103"/>
      <c r="I509" s="75"/>
      <c r="J509" s="87"/>
      <c r="K509" s="90"/>
      <c r="L509" s="93"/>
      <c r="M509" s="93"/>
      <c r="N509" s="114"/>
      <c r="O509" s="34"/>
      <c r="P509" s="34"/>
      <c r="Q509" s="2">
        <f t="shared" si="1422"/>
        <v>7</v>
      </c>
      <c r="R509" s="2">
        <f t="shared" si="1418"/>
        <v>-7</v>
      </c>
      <c r="S509" s="2"/>
      <c r="T509" s="2"/>
      <c r="U509" s="2">
        <f t="shared" ref="U509" si="1434">0.098*J508*M508*0.5*R509</f>
        <v>0</v>
      </c>
      <c r="V509" s="10">
        <f t="shared" ref="V509" si="1435">0.098*J508*M508*Q509</f>
        <v>0</v>
      </c>
      <c r="W509" s="2">
        <f t="shared" ref="W509" si="1436">0.098*J508*M508*(S509-T509)</f>
        <v>0</v>
      </c>
      <c r="X509" s="84"/>
      <c r="Y509" s="82"/>
      <c r="Z509" s="101"/>
    </row>
    <row r="510" spans="1:26" ht="17" thickBot="1" x14ac:dyDescent="0.25">
      <c r="A510" s="104"/>
      <c r="B510" s="105"/>
      <c r="C510" s="105"/>
      <c r="D510" s="105"/>
      <c r="E510" s="105"/>
      <c r="F510" s="105"/>
      <c r="G510" s="105"/>
      <c r="H510" s="106"/>
      <c r="I510" s="117"/>
      <c r="J510" s="88"/>
      <c r="K510" s="91"/>
      <c r="L510" s="94"/>
      <c r="M510" s="94"/>
      <c r="N510" s="115"/>
      <c r="O510" s="35"/>
      <c r="P510" s="35"/>
      <c r="Q510" s="20">
        <f t="shared" si="1422"/>
        <v>5</v>
      </c>
      <c r="R510" s="2">
        <f t="shared" si="1418"/>
        <v>-5</v>
      </c>
      <c r="S510" s="20"/>
      <c r="T510" s="20"/>
      <c r="U510" s="20">
        <f t="shared" ref="U510" si="1437">0.098*J508*M508*0.5*R510</f>
        <v>0</v>
      </c>
      <c r="V510" s="21">
        <f t="shared" ref="V510" si="1438">0.098*J508*M508*Q510</f>
        <v>0</v>
      </c>
      <c r="W510" s="20">
        <f t="shared" ref="W510" si="1439">0.098*J508*M508*(S510-T510)</f>
        <v>0</v>
      </c>
      <c r="X510" s="85"/>
      <c r="Y510" s="83"/>
      <c r="Z510" s="101"/>
    </row>
    <row r="511" spans="1:26" x14ac:dyDescent="0.2">
      <c r="A511" s="107" t="s">
        <v>8</v>
      </c>
      <c r="B511" s="110" t="s">
        <v>3</v>
      </c>
      <c r="C511" s="110" t="s">
        <v>7</v>
      </c>
      <c r="D511" s="110" t="s">
        <v>9</v>
      </c>
      <c r="E511" s="71" t="s">
        <v>11</v>
      </c>
      <c r="F511" s="71" t="s">
        <v>10</v>
      </c>
      <c r="G511" s="71" t="s">
        <v>12</v>
      </c>
      <c r="H511" s="71" t="s">
        <v>32</v>
      </c>
      <c r="I511" s="74" t="s">
        <v>14</v>
      </c>
      <c r="J511" s="67" t="s">
        <v>31</v>
      </c>
      <c r="K511" s="67" t="s">
        <v>33</v>
      </c>
      <c r="L511" s="67" t="s">
        <v>17</v>
      </c>
      <c r="M511" s="67" t="s">
        <v>0</v>
      </c>
      <c r="N511" s="113" t="s">
        <v>16</v>
      </c>
      <c r="O511" s="4" t="s">
        <v>6</v>
      </c>
      <c r="P511" s="4" t="s">
        <v>34</v>
      </c>
      <c r="Q511" s="17" t="s">
        <v>2</v>
      </c>
      <c r="R511" s="17" t="s">
        <v>1</v>
      </c>
      <c r="S511" s="17" t="s">
        <v>25</v>
      </c>
      <c r="T511" s="17" t="s">
        <v>26</v>
      </c>
      <c r="U511" s="18" t="s">
        <v>20</v>
      </c>
      <c r="V511" s="18" t="s">
        <v>22</v>
      </c>
      <c r="W511" s="18" t="s">
        <v>24</v>
      </c>
      <c r="X511" s="77" t="s">
        <v>19</v>
      </c>
      <c r="Y511" s="79" t="s">
        <v>23</v>
      </c>
      <c r="Z511" s="125" t="s">
        <v>39</v>
      </c>
    </row>
    <row r="512" spans="1:26" x14ac:dyDescent="0.2">
      <c r="A512" s="108"/>
      <c r="B512" s="111"/>
      <c r="C512" s="111"/>
      <c r="D512" s="111"/>
      <c r="E512" s="72"/>
      <c r="F512" s="72"/>
      <c r="G512" s="72"/>
      <c r="H512" s="72"/>
      <c r="I512" s="75"/>
      <c r="J512" s="68"/>
      <c r="K512" s="68"/>
      <c r="L512" s="68"/>
      <c r="M512" s="68"/>
      <c r="N512" s="114"/>
      <c r="O512" s="34"/>
      <c r="P512" s="34"/>
      <c r="Q512" s="2">
        <v>15</v>
      </c>
      <c r="R512" s="2">
        <f t="shared" ref="R512:R517" si="1440">T512-Q512</f>
        <v>-15</v>
      </c>
      <c r="S512" s="2"/>
      <c r="T512" s="2"/>
      <c r="U512" s="9">
        <f t="shared" ref="U512" si="1441">0.098*J515*M515*0.5*R512</f>
        <v>0</v>
      </c>
      <c r="V512" s="9">
        <f t="shared" ref="V512" si="1442">0.098*J515*M515*Q512</f>
        <v>0</v>
      </c>
      <c r="W512" s="8">
        <f t="shared" ref="W512" si="1443">0.098*J515*M515*(S512-T512)</f>
        <v>0</v>
      </c>
      <c r="X512" s="78"/>
      <c r="Y512" s="80"/>
      <c r="Z512" s="125"/>
    </row>
    <row r="513" spans="1:26" x14ac:dyDescent="0.2">
      <c r="A513" s="108"/>
      <c r="B513" s="111"/>
      <c r="C513" s="111"/>
      <c r="D513" s="111"/>
      <c r="E513" s="72"/>
      <c r="F513" s="72"/>
      <c r="G513" s="72"/>
      <c r="H513" s="72"/>
      <c r="I513" s="75"/>
      <c r="J513" s="68"/>
      <c r="K513" s="68"/>
      <c r="L513" s="68"/>
      <c r="M513" s="68"/>
      <c r="N513" s="114"/>
      <c r="O513" s="34"/>
      <c r="P513" s="34"/>
      <c r="Q513" s="2">
        <f t="shared" ref="Q513:Q517" si="1444">Q512-2</f>
        <v>13</v>
      </c>
      <c r="R513" s="2">
        <f t="shared" si="1440"/>
        <v>-13</v>
      </c>
      <c r="S513" s="2"/>
      <c r="T513" s="2"/>
      <c r="U513" s="9">
        <f t="shared" ref="U513" si="1445">0.098*J515*M515*0.5*R513</f>
        <v>0</v>
      </c>
      <c r="V513" s="9">
        <f t="shared" ref="V513" si="1446">0.098*J515*M515*Q513</f>
        <v>0</v>
      </c>
      <c r="W513" s="8">
        <f t="shared" ref="W513" si="1447">0.098*J515*M515*(S513-T513)</f>
        <v>0</v>
      </c>
      <c r="X513" s="23"/>
      <c r="Y513" s="81"/>
      <c r="Z513" s="125"/>
    </row>
    <row r="514" spans="1:26" x14ac:dyDescent="0.2">
      <c r="A514" s="108"/>
      <c r="B514" s="111"/>
      <c r="C514" s="111"/>
      <c r="D514" s="111"/>
      <c r="E514" s="72"/>
      <c r="F514" s="72"/>
      <c r="G514" s="72"/>
      <c r="H514" s="72"/>
      <c r="I514" s="75"/>
      <c r="J514" s="69"/>
      <c r="K514" s="69"/>
      <c r="L514" s="69"/>
      <c r="M514" s="69"/>
      <c r="N514" s="114"/>
      <c r="O514" s="34"/>
      <c r="P514" s="34"/>
      <c r="Q514" s="2">
        <f t="shared" si="1444"/>
        <v>11</v>
      </c>
      <c r="R514" s="2">
        <f t="shared" si="1440"/>
        <v>-11</v>
      </c>
      <c r="S514" s="2"/>
      <c r="T514" s="2"/>
      <c r="U514" s="9">
        <f t="shared" ref="U514" si="1448">0.098*J515*M515*0.5*R514</f>
        <v>0</v>
      </c>
      <c r="V514" s="9">
        <f t="shared" ref="V514" si="1449">0.098*J515*M515*Q514</f>
        <v>0</v>
      </c>
      <c r="W514" s="8">
        <f t="shared" ref="W514" si="1450">0.098*J515*M515*(S514-T514)</f>
        <v>0</v>
      </c>
      <c r="X514" s="84"/>
      <c r="Y514" s="82"/>
      <c r="Z514" s="125"/>
    </row>
    <row r="515" spans="1:26" x14ac:dyDescent="0.2">
      <c r="A515" s="108"/>
      <c r="B515" s="111"/>
      <c r="C515" s="111"/>
      <c r="D515" s="111"/>
      <c r="E515" s="72"/>
      <c r="F515" s="72"/>
      <c r="G515" s="72"/>
      <c r="H515" s="72"/>
      <c r="I515" s="75"/>
      <c r="J515" s="86">
        <f t="shared" ref="J515" si="1451">(7*F518)/1000</f>
        <v>-0.62078800000000001</v>
      </c>
      <c r="K515" s="89"/>
      <c r="L515" s="92"/>
      <c r="M515" s="92"/>
      <c r="N515" s="114"/>
      <c r="O515" s="34"/>
      <c r="P515" s="34"/>
      <c r="Q515" s="2">
        <f t="shared" si="1444"/>
        <v>9</v>
      </c>
      <c r="R515" s="2">
        <f t="shared" si="1440"/>
        <v>-9</v>
      </c>
      <c r="S515" s="2"/>
      <c r="T515" s="2"/>
      <c r="U515" s="9">
        <f t="shared" ref="U515" si="1452">0.098*J515*M515*0.5*R515</f>
        <v>0</v>
      </c>
      <c r="V515" s="9">
        <f t="shared" ref="V515" si="1453">0.098*J515*M515*Q515</f>
        <v>0</v>
      </c>
      <c r="W515" s="8">
        <f t="shared" ref="W515" si="1454">0.098*J515*M515*(S515-T515)</f>
        <v>0</v>
      </c>
      <c r="X515" s="84"/>
      <c r="Y515" s="82"/>
      <c r="Z515" s="101">
        <f>_xlfn.STDEV.S(R512:R517)</f>
        <v>3.7416573867739413</v>
      </c>
    </row>
    <row r="516" spans="1:26" x14ac:dyDescent="0.2">
      <c r="A516" s="108"/>
      <c r="B516" s="111"/>
      <c r="C516" s="111"/>
      <c r="D516" s="111"/>
      <c r="E516" s="72"/>
      <c r="F516" s="72"/>
      <c r="G516" s="72"/>
      <c r="H516" s="72"/>
      <c r="I516" s="75"/>
      <c r="J516" s="87"/>
      <c r="K516" s="90"/>
      <c r="L516" s="93"/>
      <c r="M516" s="93"/>
      <c r="N516" s="114"/>
      <c r="O516" s="34"/>
      <c r="P516" s="34"/>
      <c r="Q516" s="2">
        <f t="shared" si="1444"/>
        <v>7</v>
      </c>
      <c r="R516" s="2">
        <f t="shared" si="1440"/>
        <v>-7</v>
      </c>
      <c r="S516" s="2"/>
      <c r="T516" s="2"/>
      <c r="U516" s="9">
        <f t="shared" ref="U516" si="1455">0.098*J515*M515*0.5*R516</f>
        <v>0</v>
      </c>
      <c r="V516" s="9">
        <f t="shared" ref="V516" si="1456">0.098*J515*M515*Q516</f>
        <v>0</v>
      </c>
      <c r="W516" s="8">
        <f t="shared" ref="W516" si="1457">0.098*J515*M515*(S516-T516)</f>
        <v>0</v>
      </c>
      <c r="X516" s="84"/>
      <c r="Y516" s="82"/>
      <c r="Z516" s="101"/>
    </row>
    <row r="517" spans="1:26" ht="17" thickBot="1" x14ac:dyDescent="0.25">
      <c r="A517" s="109"/>
      <c r="B517" s="112"/>
      <c r="C517" s="112"/>
      <c r="D517" s="112"/>
      <c r="E517" s="73"/>
      <c r="F517" s="73"/>
      <c r="G517" s="73"/>
      <c r="H517" s="73"/>
      <c r="I517" s="76"/>
      <c r="J517" s="97"/>
      <c r="K517" s="96"/>
      <c r="L517" s="95"/>
      <c r="M517" s="95"/>
      <c r="N517" s="114"/>
      <c r="O517" s="34"/>
      <c r="P517" s="34"/>
      <c r="Q517" s="2">
        <f t="shared" si="1444"/>
        <v>5</v>
      </c>
      <c r="R517" s="2">
        <f t="shared" si="1440"/>
        <v>-5</v>
      </c>
      <c r="S517" s="2"/>
      <c r="T517" s="2"/>
      <c r="U517" s="9">
        <f t="shared" ref="U517" si="1458">0.098*J515*M515*0.5*R517</f>
        <v>0</v>
      </c>
      <c r="V517" s="9">
        <f t="shared" ref="V517" si="1459">0.098*J515*M515*Q517</f>
        <v>0</v>
      </c>
      <c r="W517" s="8">
        <f t="shared" ref="W517" si="1460">0.098*J515*M515*(S517-T517)</f>
        <v>0</v>
      </c>
      <c r="X517" s="84"/>
      <c r="Y517" s="82"/>
      <c r="Z517" s="101"/>
    </row>
    <row r="518" spans="1:26" x14ac:dyDescent="0.2">
      <c r="A518" s="19">
        <f t="shared" si="1415"/>
        <v>36</v>
      </c>
      <c r="B518" s="3" t="s">
        <v>5</v>
      </c>
      <c r="C518" s="3"/>
      <c r="D518" s="3"/>
      <c r="E518" s="3"/>
      <c r="F518" s="3">
        <f t="shared" ref="F518" si="1461">IF(B518="M", 50 + 0.91*(D518-152.4), IF(B518="F", 45.5 + 0.91*(D518-152.4), ""))</f>
        <v>-88.683999999999997</v>
      </c>
      <c r="G518" s="3"/>
      <c r="H518" s="3" t="e">
        <f t="shared" ref="H518" si="1462">E518/(D518*10^-2)^2</f>
        <v>#DIV/0!</v>
      </c>
      <c r="I518" s="116" t="s">
        <v>15</v>
      </c>
      <c r="J518" s="70" t="s">
        <v>31</v>
      </c>
      <c r="K518" s="70" t="s">
        <v>33</v>
      </c>
      <c r="L518" s="70" t="s">
        <v>17</v>
      </c>
      <c r="M518" s="70" t="s">
        <v>0</v>
      </c>
      <c r="N518" s="114"/>
      <c r="O518" s="4" t="s">
        <v>6</v>
      </c>
      <c r="P518" s="4" t="s">
        <v>34</v>
      </c>
      <c r="Q518" s="6" t="s">
        <v>2</v>
      </c>
      <c r="R518" s="17" t="s">
        <v>1</v>
      </c>
      <c r="S518" s="17" t="s">
        <v>25</v>
      </c>
      <c r="T518" s="17" t="s">
        <v>26</v>
      </c>
      <c r="U518" s="7" t="s">
        <v>21</v>
      </c>
      <c r="V518" s="7" t="s">
        <v>22</v>
      </c>
      <c r="W518" s="7" t="s">
        <v>24</v>
      </c>
      <c r="X518" s="84"/>
      <c r="Y518" s="82"/>
      <c r="Z518" s="125" t="s">
        <v>39</v>
      </c>
    </row>
    <row r="519" spans="1:26" x14ac:dyDescent="0.2">
      <c r="A519" s="98"/>
      <c r="B519" s="99"/>
      <c r="C519" s="99"/>
      <c r="D519" s="99"/>
      <c r="E519" s="99"/>
      <c r="F519" s="99"/>
      <c r="G519" s="99"/>
      <c r="H519" s="100"/>
      <c r="I519" s="75"/>
      <c r="J519" s="68"/>
      <c r="K519" s="68"/>
      <c r="L519" s="68"/>
      <c r="M519" s="68"/>
      <c r="N519" s="114"/>
      <c r="O519" s="34"/>
      <c r="P519" s="34"/>
      <c r="Q519" s="2">
        <v>15</v>
      </c>
      <c r="R519" s="2">
        <f t="shared" ref="R519:R524" si="1463">T519-Q519</f>
        <v>-15</v>
      </c>
      <c r="S519" s="2"/>
      <c r="T519" s="2"/>
      <c r="U519" s="2">
        <f t="shared" ref="U519" si="1464">0.098*J522*M522*0.5*R519</f>
        <v>0</v>
      </c>
      <c r="V519" s="10">
        <f t="shared" ref="V519" si="1465">0.098*J522*M522*Q519</f>
        <v>0</v>
      </c>
      <c r="W519" s="2">
        <f t="shared" ref="W519" si="1466">0.098*J522*M522*(S519-T519)</f>
        <v>0</v>
      </c>
      <c r="X519" s="84"/>
      <c r="Y519" s="82"/>
      <c r="Z519" s="125"/>
    </row>
    <row r="520" spans="1:26" x14ac:dyDescent="0.2">
      <c r="A520" s="101"/>
      <c r="B520" s="102"/>
      <c r="C520" s="102"/>
      <c r="D520" s="102"/>
      <c r="E520" s="102"/>
      <c r="F520" s="102"/>
      <c r="G520" s="102"/>
      <c r="H520" s="103"/>
      <c r="I520" s="75"/>
      <c r="J520" s="68"/>
      <c r="K520" s="68"/>
      <c r="L520" s="68"/>
      <c r="M520" s="68"/>
      <c r="N520" s="114"/>
      <c r="O520" s="34"/>
      <c r="P520" s="34"/>
      <c r="Q520" s="2">
        <f t="shared" ref="Q520:Q524" si="1467">Q519-2</f>
        <v>13</v>
      </c>
      <c r="R520" s="2">
        <f t="shared" si="1463"/>
        <v>-13</v>
      </c>
      <c r="S520" s="2"/>
      <c r="T520" s="2"/>
      <c r="U520" s="2">
        <f t="shared" ref="U520" si="1468">0.098*J522*M522*0.5*R520</f>
        <v>0</v>
      </c>
      <c r="V520" s="10">
        <f t="shared" ref="V520" si="1469">0.098*J522*M522*Q520</f>
        <v>0</v>
      </c>
      <c r="W520" s="2">
        <f t="shared" ref="W520" si="1470">0.098*J522*M522*(S520-T520)</f>
        <v>0</v>
      </c>
      <c r="X520" s="84"/>
      <c r="Y520" s="82"/>
      <c r="Z520" s="125"/>
    </row>
    <row r="521" spans="1:26" x14ac:dyDescent="0.2">
      <c r="A521" s="101"/>
      <c r="B521" s="102"/>
      <c r="C521" s="102"/>
      <c r="D521" s="102"/>
      <c r="E521" s="102"/>
      <c r="F521" s="102"/>
      <c r="G521" s="102"/>
      <c r="H521" s="103"/>
      <c r="I521" s="75"/>
      <c r="J521" s="69"/>
      <c r="K521" s="69"/>
      <c r="L521" s="69"/>
      <c r="M521" s="69"/>
      <c r="N521" s="114"/>
      <c r="O521" s="34"/>
      <c r="P521" s="34"/>
      <c r="Q521" s="2">
        <f t="shared" si="1467"/>
        <v>11</v>
      </c>
      <c r="R521" s="2">
        <f t="shared" si="1463"/>
        <v>-11</v>
      </c>
      <c r="S521" s="2"/>
      <c r="T521" s="2"/>
      <c r="U521" s="2">
        <f t="shared" ref="U521" si="1471">0.098*J522*M522*0.5*R521</f>
        <v>0</v>
      </c>
      <c r="V521" s="10">
        <f t="shared" ref="V521" si="1472">0.098*J522*M522*Q521</f>
        <v>0</v>
      </c>
      <c r="W521" s="2">
        <f t="shared" ref="W521" si="1473">0.098*J522*M522*(S521-T521)</f>
        <v>0</v>
      </c>
      <c r="X521" s="84"/>
      <c r="Y521" s="82"/>
      <c r="Z521" s="125"/>
    </row>
    <row r="522" spans="1:26" x14ac:dyDescent="0.2">
      <c r="A522" s="101"/>
      <c r="B522" s="102"/>
      <c r="C522" s="102"/>
      <c r="D522" s="102"/>
      <c r="E522" s="102"/>
      <c r="F522" s="102"/>
      <c r="G522" s="102"/>
      <c r="H522" s="103"/>
      <c r="I522" s="75"/>
      <c r="J522" s="86">
        <f t="shared" ref="J522" si="1474">(9*F518)/1000</f>
        <v>-0.79815599999999998</v>
      </c>
      <c r="K522" s="89"/>
      <c r="L522" s="92"/>
      <c r="M522" s="92"/>
      <c r="N522" s="114"/>
      <c r="O522" s="34"/>
      <c r="P522" s="34"/>
      <c r="Q522" s="2">
        <f t="shared" si="1467"/>
        <v>9</v>
      </c>
      <c r="R522" s="2">
        <f t="shared" si="1463"/>
        <v>-9</v>
      </c>
      <c r="S522" s="2"/>
      <c r="T522" s="2"/>
      <c r="U522" s="2">
        <f t="shared" ref="U522" si="1475">0.098*J522*M522*0.5*R522</f>
        <v>0</v>
      </c>
      <c r="V522" s="10">
        <f t="shared" ref="V522" si="1476">0.098*J522*M522*Q522</f>
        <v>0</v>
      </c>
      <c r="W522" s="2">
        <f t="shared" ref="W522" si="1477">0.098*J522*M522*(S522-T522)</f>
        <v>0</v>
      </c>
      <c r="X522" s="84"/>
      <c r="Y522" s="82"/>
      <c r="Z522" s="101">
        <f>_xlfn.STDEV.S(R519:R524)</f>
        <v>3.7416573867739413</v>
      </c>
    </row>
    <row r="523" spans="1:26" x14ac:dyDescent="0.2">
      <c r="A523" s="101"/>
      <c r="B523" s="102"/>
      <c r="C523" s="102"/>
      <c r="D523" s="102"/>
      <c r="E523" s="102"/>
      <c r="F523" s="102"/>
      <c r="G523" s="102"/>
      <c r="H523" s="103"/>
      <c r="I523" s="75"/>
      <c r="J523" s="87"/>
      <c r="K523" s="90"/>
      <c r="L523" s="93"/>
      <c r="M523" s="93"/>
      <c r="N523" s="114"/>
      <c r="O523" s="34"/>
      <c r="P523" s="34"/>
      <c r="Q523" s="2">
        <f t="shared" si="1467"/>
        <v>7</v>
      </c>
      <c r="R523" s="2">
        <f t="shared" si="1463"/>
        <v>-7</v>
      </c>
      <c r="S523" s="2"/>
      <c r="T523" s="2"/>
      <c r="U523" s="2">
        <f t="shared" ref="U523" si="1478">0.098*J522*M522*0.5*R523</f>
        <v>0</v>
      </c>
      <c r="V523" s="10">
        <f t="shared" ref="V523" si="1479">0.098*J522*M522*Q523</f>
        <v>0</v>
      </c>
      <c r="W523" s="2">
        <f t="shared" ref="W523" si="1480">0.098*J522*M522*(S523-T523)</f>
        <v>0</v>
      </c>
      <c r="X523" s="84"/>
      <c r="Y523" s="82"/>
      <c r="Z523" s="101"/>
    </row>
    <row r="524" spans="1:26" ht="17" thickBot="1" x14ac:dyDescent="0.25">
      <c r="A524" s="104"/>
      <c r="B524" s="105"/>
      <c r="C524" s="105"/>
      <c r="D524" s="105"/>
      <c r="E524" s="105"/>
      <c r="F524" s="105"/>
      <c r="G524" s="105"/>
      <c r="H524" s="106"/>
      <c r="I524" s="117"/>
      <c r="J524" s="88"/>
      <c r="K524" s="91"/>
      <c r="L524" s="94"/>
      <c r="M524" s="94"/>
      <c r="N524" s="115"/>
      <c r="O524" s="35"/>
      <c r="P524" s="35"/>
      <c r="Q524" s="20">
        <f t="shared" si="1467"/>
        <v>5</v>
      </c>
      <c r="R524" s="2">
        <f t="shared" si="1463"/>
        <v>-5</v>
      </c>
      <c r="S524" s="20"/>
      <c r="T524" s="20"/>
      <c r="U524" s="20">
        <f t="shared" ref="U524" si="1481">0.098*J522*M522*0.5*R524</f>
        <v>0</v>
      </c>
      <c r="V524" s="21">
        <f t="shared" ref="V524" si="1482">0.098*J522*M522*Q524</f>
        <v>0</v>
      </c>
      <c r="W524" s="20">
        <f t="shared" ref="W524" si="1483">0.098*J522*M522*(S524-T524)</f>
        <v>0</v>
      </c>
      <c r="X524" s="85"/>
      <c r="Y524" s="83"/>
      <c r="Z524" s="101"/>
    </row>
    <row r="525" spans="1:26" x14ac:dyDescent="0.2">
      <c r="A525" s="107" t="s">
        <v>8</v>
      </c>
      <c r="B525" s="110" t="s">
        <v>3</v>
      </c>
      <c r="C525" s="110" t="s">
        <v>7</v>
      </c>
      <c r="D525" s="110" t="s">
        <v>9</v>
      </c>
      <c r="E525" s="71" t="s">
        <v>11</v>
      </c>
      <c r="F525" s="71" t="s">
        <v>10</v>
      </c>
      <c r="G525" s="71" t="s">
        <v>12</v>
      </c>
      <c r="H525" s="71" t="s">
        <v>32</v>
      </c>
      <c r="I525" s="74" t="s">
        <v>14</v>
      </c>
      <c r="J525" s="67" t="s">
        <v>31</v>
      </c>
      <c r="K525" s="67" t="s">
        <v>33</v>
      </c>
      <c r="L525" s="67" t="s">
        <v>17</v>
      </c>
      <c r="M525" s="67" t="s">
        <v>0</v>
      </c>
      <c r="N525" s="113" t="s">
        <v>16</v>
      </c>
      <c r="O525" s="4" t="s">
        <v>6</v>
      </c>
      <c r="P525" s="4" t="s">
        <v>34</v>
      </c>
      <c r="Q525" s="17" t="s">
        <v>2</v>
      </c>
      <c r="R525" s="17" t="s">
        <v>1</v>
      </c>
      <c r="S525" s="17" t="s">
        <v>25</v>
      </c>
      <c r="T525" s="17" t="s">
        <v>26</v>
      </c>
      <c r="U525" s="18" t="s">
        <v>20</v>
      </c>
      <c r="V525" s="18" t="s">
        <v>22</v>
      </c>
      <c r="W525" s="18" t="s">
        <v>24</v>
      </c>
      <c r="X525" s="77" t="s">
        <v>19</v>
      </c>
      <c r="Y525" s="79" t="s">
        <v>23</v>
      </c>
      <c r="Z525" s="125" t="s">
        <v>39</v>
      </c>
    </row>
    <row r="526" spans="1:26" x14ac:dyDescent="0.2">
      <c r="A526" s="108"/>
      <c r="B526" s="111"/>
      <c r="C526" s="111"/>
      <c r="D526" s="111"/>
      <c r="E526" s="72"/>
      <c r="F526" s="72"/>
      <c r="G526" s="72"/>
      <c r="H526" s="72"/>
      <c r="I526" s="75"/>
      <c r="J526" s="68"/>
      <c r="K526" s="68"/>
      <c r="L526" s="68"/>
      <c r="M526" s="68"/>
      <c r="N526" s="114"/>
      <c r="O526" s="34"/>
      <c r="P526" s="34"/>
      <c r="Q526" s="2">
        <v>15</v>
      </c>
      <c r="R526" s="2">
        <f t="shared" ref="R526:R531" si="1484">T526-Q526</f>
        <v>-15</v>
      </c>
      <c r="S526" s="2"/>
      <c r="T526" s="2"/>
      <c r="U526" s="9">
        <f t="shared" ref="U526" si="1485">0.098*J529*M529*0.5*R526</f>
        <v>0</v>
      </c>
      <c r="V526" s="9">
        <f t="shared" ref="V526" si="1486">0.098*J529*M529*Q526</f>
        <v>0</v>
      </c>
      <c r="W526" s="8">
        <f t="shared" ref="W526" si="1487">0.098*J529*M529*(S526-T526)</f>
        <v>0</v>
      </c>
      <c r="X526" s="78"/>
      <c r="Y526" s="80"/>
      <c r="Z526" s="125"/>
    </row>
    <row r="527" spans="1:26" x14ac:dyDescent="0.2">
      <c r="A527" s="108"/>
      <c r="B527" s="111"/>
      <c r="C527" s="111"/>
      <c r="D527" s="111"/>
      <c r="E527" s="72"/>
      <c r="F527" s="72"/>
      <c r="G527" s="72"/>
      <c r="H527" s="72"/>
      <c r="I527" s="75"/>
      <c r="J527" s="68"/>
      <c r="K527" s="68"/>
      <c r="L527" s="68"/>
      <c r="M527" s="68"/>
      <c r="N527" s="114"/>
      <c r="O527" s="34"/>
      <c r="P527" s="34"/>
      <c r="Q527" s="2">
        <f t="shared" ref="Q527:Q531" si="1488">Q526-2</f>
        <v>13</v>
      </c>
      <c r="R527" s="2">
        <f t="shared" si="1484"/>
        <v>-13</v>
      </c>
      <c r="S527" s="2"/>
      <c r="T527" s="2"/>
      <c r="U527" s="9">
        <f t="shared" ref="U527" si="1489">0.098*J529*M529*0.5*R527</f>
        <v>0</v>
      </c>
      <c r="V527" s="9">
        <f t="shared" ref="V527" si="1490">0.098*J529*M529*Q527</f>
        <v>0</v>
      </c>
      <c r="W527" s="8">
        <f t="shared" ref="W527" si="1491">0.098*J529*M529*(S527-T527)</f>
        <v>0</v>
      </c>
      <c r="X527" s="23"/>
      <c r="Y527" s="81"/>
      <c r="Z527" s="125"/>
    </row>
    <row r="528" spans="1:26" x14ac:dyDescent="0.2">
      <c r="A528" s="108"/>
      <c r="B528" s="111"/>
      <c r="C528" s="111"/>
      <c r="D528" s="111"/>
      <c r="E528" s="72"/>
      <c r="F528" s="72"/>
      <c r="G528" s="72"/>
      <c r="H528" s="72"/>
      <c r="I528" s="75"/>
      <c r="J528" s="69"/>
      <c r="K528" s="69"/>
      <c r="L528" s="69"/>
      <c r="M528" s="69"/>
      <c r="N528" s="114"/>
      <c r="O528" s="34"/>
      <c r="P528" s="34"/>
      <c r="Q528" s="2">
        <f t="shared" si="1488"/>
        <v>11</v>
      </c>
      <c r="R528" s="2">
        <f t="shared" si="1484"/>
        <v>-11</v>
      </c>
      <c r="S528" s="2"/>
      <c r="T528" s="2"/>
      <c r="U528" s="9">
        <f t="shared" ref="U528" si="1492">0.098*J529*M529*0.5*R528</f>
        <v>0</v>
      </c>
      <c r="V528" s="9">
        <f t="shared" ref="V528" si="1493">0.098*J529*M529*Q528</f>
        <v>0</v>
      </c>
      <c r="W528" s="8">
        <f t="shared" ref="W528" si="1494">0.098*J529*M529*(S528-T528)</f>
        <v>0</v>
      </c>
      <c r="X528" s="84"/>
      <c r="Y528" s="82"/>
      <c r="Z528" s="125"/>
    </row>
    <row r="529" spans="1:26" x14ac:dyDescent="0.2">
      <c r="A529" s="108"/>
      <c r="B529" s="111"/>
      <c r="C529" s="111"/>
      <c r="D529" s="111"/>
      <c r="E529" s="72"/>
      <c r="F529" s="72"/>
      <c r="G529" s="72"/>
      <c r="H529" s="72"/>
      <c r="I529" s="75"/>
      <c r="J529" s="86">
        <f t="shared" ref="J529" si="1495">(7*F532)/1000</f>
        <v>-0.62078800000000001</v>
      </c>
      <c r="K529" s="89"/>
      <c r="L529" s="92"/>
      <c r="M529" s="92"/>
      <c r="N529" s="114"/>
      <c r="O529" s="34"/>
      <c r="P529" s="34"/>
      <c r="Q529" s="2">
        <f t="shared" si="1488"/>
        <v>9</v>
      </c>
      <c r="R529" s="2">
        <f t="shared" si="1484"/>
        <v>-9</v>
      </c>
      <c r="S529" s="2"/>
      <c r="T529" s="2"/>
      <c r="U529" s="9">
        <f t="shared" ref="U529" si="1496">0.098*J529*M529*0.5*R529</f>
        <v>0</v>
      </c>
      <c r="V529" s="9">
        <f t="shared" ref="V529" si="1497">0.098*J529*M529*Q529</f>
        <v>0</v>
      </c>
      <c r="W529" s="8">
        <f t="shared" ref="W529" si="1498">0.098*J529*M529*(S529-T529)</f>
        <v>0</v>
      </c>
      <c r="X529" s="84"/>
      <c r="Y529" s="82"/>
      <c r="Z529" s="101">
        <f t="shared" ref="Z529" si="1499">_xlfn.STDEV.S(R526:R531)</f>
        <v>3.7416573867739413</v>
      </c>
    </row>
    <row r="530" spans="1:26" x14ac:dyDescent="0.2">
      <c r="A530" s="108"/>
      <c r="B530" s="111"/>
      <c r="C530" s="111"/>
      <c r="D530" s="111"/>
      <c r="E530" s="72"/>
      <c r="F530" s="72"/>
      <c r="G530" s="72"/>
      <c r="H530" s="72"/>
      <c r="I530" s="75"/>
      <c r="J530" s="87"/>
      <c r="K530" s="90"/>
      <c r="L530" s="93"/>
      <c r="M530" s="93"/>
      <c r="N530" s="114"/>
      <c r="O530" s="34"/>
      <c r="P530" s="34"/>
      <c r="Q530" s="2">
        <f t="shared" si="1488"/>
        <v>7</v>
      </c>
      <c r="R530" s="2">
        <f t="shared" si="1484"/>
        <v>-7</v>
      </c>
      <c r="S530" s="2"/>
      <c r="T530" s="2"/>
      <c r="U530" s="9">
        <f t="shared" ref="U530" si="1500">0.098*J529*M529*0.5*R530</f>
        <v>0</v>
      </c>
      <c r="V530" s="9">
        <f t="shared" ref="V530" si="1501">0.098*J529*M529*Q530</f>
        <v>0</v>
      </c>
      <c r="W530" s="8">
        <f t="shared" ref="W530" si="1502">0.098*J529*M529*(S530-T530)</f>
        <v>0</v>
      </c>
      <c r="X530" s="84"/>
      <c r="Y530" s="82"/>
      <c r="Z530" s="101"/>
    </row>
    <row r="531" spans="1:26" ht="17" thickBot="1" x14ac:dyDescent="0.25">
      <c r="A531" s="109"/>
      <c r="B531" s="112"/>
      <c r="C531" s="112"/>
      <c r="D531" s="112"/>
      <c r="E531" s="73"/>
      <c r="F531" s="73"/>
      <c r="G531" s="73"/>
      <c r="H531" s="73"/>
      <c r="I531" s="76"/>
      <c r="J531" s="97"/>
      <c r="K531" s="96"/>
      <c r="L531" s="95"/>
      <c r="M531" s="95"/>
      <c r="N531" s="114"/>
      <c r="O531" s="34"/>
      <c r="P531" s="34"/>
      <c r="Q531" s="2">
        <f t="shared" si="1488"/>
        <v>5</v>
      </c>
      <c r="R531" s="2">
        <f t="shared" si="1484"/>
        <v>-5</v>
      </c>
      <c r="S531" s="2"/>
      <c r="T531" s="2"/>
      <c r="U531" s="9">
        <f t="shared" ref="U531" si="1503">0.098*J529*M529*0.5*R531</f>
        <v>0</v>
      </c>
      <c r="V531" s="9">
        <f t="shared" ref="V531" si="1504">0.098*J529*M529*Q531</f>
        <v>0</v>
      </c>
      <c r="W531" s="8">
        <f t="shared" ref="W531" si="1505">0.098*J529*M529*(S531-T531)</f>
        <v>0</v>
      </c>
      <c r="X531" s="84"/>
      <c r="Y531" s="82"/>
      <c r="Z531" s="101"/>
    </row>
    <row r="532" spans="1:26" x14ac:dyDescent="0.2">
      <c r="A532" s="19">
        <f t="shared" si="1415"/>
        <v>37</v>
      </c>
      <c r="B532" s="3" t="s">
        <v>5</v>
      </c>
      <c r="C532" s="3"/>
      <c r="D532" s="3"/>
      <c r="E532" s="3"/>
      <c r="F532" s="3">
        <f t="shared" ref="F532" si="1506">IF(B532="M", 50 + 0.91*(D532-152.4), IF(B532="F", 45.5 + 0.91*(D532-152.4), ""))</f>
        <v>-88.683999999999997</v>
      </c>
      <c r="G532" s="3"/>
      <c r="H532" s="3" t="e">
        <f t="shared" ref="H532" si="1507">E532/(D532*10^-2)^2</f>
        <v>#DIV/0!</v>
      </c>
      <c r="I532" s="116" t="s">
        <v>15</v>
      </c>
      <c r="J532" s="70" t="s">
        <v>31</v>
      </c>
      <c r="K532" s="70" t="s">
        <v>33</v>
      </c>
      <c r="L532" s="70" t="s">
        <v>17</v>
      </c>
      <c r="M532" s="70" t="s">
        <v>0</v>
      </c>
      <c r="N532" s="114"/>
      <c r="O532" s="4" t="s">
        <v>6</v>
      </c>
      <c r="P532" s="4" t="s">
        <v>34</v>
      </c>
      <c r="Q532" s="6" t="s">
        <v>2</v>
      </c>
      <c r="R532" s="17" t="s">
        <v>1</v>
      </c>
      <c r="S532" s="17" t="s">
        <v>25</v>
      </c>
      <c r="T532" s="17" t="s">
        <v>26</v>
      </c>
      <c r="U532" s="7" t="s">
        <v>21</v>
      </c>
      <c r="V532" s="7" t="s">
        <v>22</v>
      </c>
      <c r="W532" s="7" t="s">
        <v>24</v>
      </c>
      <c r="X532" s="84"/>
      <c r="Y532" s="82"/>
      <c r="Z532" s="125" t="s">
        <v>39</v>
      </c>
    </row>
    <row r="533" spans="1:26" x14ac:dyDescent="0.2">
      <c r="A533" s="98"/>
      <c r="B533" s="99"/>
      <c r="C533" s="99"/>
      <c r="D533" s="99"/>
      <c r="E533" s="99"/>
      <c r="F533" s="99"/>
      <c r="G533" s="99"/>
      <c r="H533" s="100"/>
      <c r="I533" s="75"/>
      <c r="J533" s="68"/>
      <c r="K533" s="68"/>
      <c r="L533" s="68"/>
      <c r="M533" s="68"/>
      <c r="N533" s="114"/>
      <c r="O533" s="34"/>
      <c r="P533" s="34"/>
      <c r="Q533" s="2">
        <v>15</v>
      </c>
      <c r="R533" s="2">
        <f t="shared" ref="R533:R538" si="1508">T533-Q533</f>
        <v>-15</v>
      </c>
      <c r="S533" s="2"/>
      <c r="T533" s="2"/>
      <c r="U533" s="2">
        <f t="shared" ref="U533" si="1509">0.098*J536*M536*0.5*R533</f>
        <v>0</v>
      </c>
      <c r="V533" s="10">
        <f t="shared" ref="V533" si="1510">0.098*J536*M536*Q533</f>
        <v>0</v>
      </c>
      <c r="W533" s="2">
        <f t="shared" ref="W533" si="1511">0.098*J536*M536*(S533-T533)</f>
        <v>0</v>
      </c>
      <c r="X533" s="84"/>
      <c r="Y533" s="82"/>
      <c r="Z533" s="125"/>
    </row>
    <row r="534" spans="1:26" x14ac:dyDescent="0.2">
      <c r="A534" s="101"/>
      <c r="B534" s="102"/>
      <c r="C534" s="102"/>
      <c r="D534" s="102"/>
      <c r="E534" s="102"/>
      <c r="F534" s="102"/>
      <c r="G534" s="102"/>
      <c r="H534" s="103"/>
      <c r="I534" s="75"/>
      <c r="J534" s="68"/>
      <c r="K534" s="68"/>
      <c r="L534" s="68"/>
      <c r="M534" s="68"/>
      <c r="N534" s="114"/>
      <c r="O534" s="34"/>
      <c r="P534" s="34"/>
      <c r="Q534" s="2">
        <f t="shared" ref="Q534:Q538" si="1512">Q533-2</f>
        <v>13</v>
      </c>
      <c r="R534" s="2">
        <f t="shared" si="1508"/>
        <v>-13</v>
      </c>
      <c r="S534" s="2"/>
      <c r="T534" s="2"/>
      <c r="U534" s="2">
        <f t="shared" ref="U534" si="1513">0.098*J536*M536*0.5*R534</f>
        <v>0</v>
      </c>
      <c r="V534" s="10">
        <f t="shared" ref="V534" si="1514">0.098*J536*M536*Q534</f>
        <v>0</v>
      </c>
      <c r="W534" s="2">
        <f t="shared" ref="W534" si="1515">0.098*J536*M536*(S534-T534)</f>
        <v>0</v>
      </c>
      <c r="X534" s="84"/>
      <c r="Y534" s="82"/>
      <c r="Z534" s="125"/>
    </row>
    <row r="535" spans="1:26" x14ac:dyDescent="0.2">
      <c r="A535" s="101"/>
      <c r="B535" s="102"/>
      <c r="C535" s="102"/>
      <c r="D535" s="102"/>
      <c r="E535" s="102"/>
      <c r="F535" s="102"/>
      <c r="G535" s="102"/>
      <c r="H535" s="103"/>
      <c r="I535" s="75"/>
      <c r="J535" s="69"/>
      <c r="K535" s="69"/>
      <c r="L535" s="69"/>
      <c r="M535" s="69"/>
      <c r="N535" s="114"/>
      <c r="O535" s="34"/>
      <c r="P535" s="34"/>
      <c r="Q535" s="2">
        <f t="shared" si="1512"/>
        <v>11</v>
      </c>
      <c r="R535" s="2">
        <f t="shared" si="1508"/>
        <v>-11</v>
      </c>
      <c r="S535" s="2"/>
      <c r="T535" s="2"/>
      <c r="U535" s="2">
        <f t="shared" ref="U535" si="1516">0.098*J536*M536*0.5*R535</f>
        <v>0</v>
      </c>
      <c r="V535" s="10">
        <f t="shared" ref="V535" si="1517">0.098*J536*M536*Q535</f>
        <v>0</v>
      </c>
      <c r="W535" s="2">
        <f t="shared" ref="W535" si="1518">0.098*J536*M536*(S535-T535)</f>
        <v>0</v>
      </c>
      <c r="X535" s="84"/>
      <c r="Y535" s="82"/>
      <c r="Z535" s="125"/>
    </row>
    <row r="536" spans="1:26" x14ac:dyDescent="0.2">
      <c r="A536" s="101"/>
      <c r="B536" s="102"/>
      <c r="C536" s="102"/>
      <c r="D536" s="102"/>
      <c r="E536" s="102"/>
      <c r="F536" s="102"/>
      <c r="G536" s="102"/>
      <c r="H536" s="103"/>
      <c r="I536" s="75"/>
      <c r="J536" s="86">
        <f t="shared" ref="J536" si="1519">(9*F532)/1000</f>
        <v>-0.79815599999999998</v>
      </c>
      <c r="K536" s="89"/>
      <c r="L536" s="92"/>
      <c r="M536" s="92"/>
      <c r="N536" s="114"/>
      <c r="O536" s="34"/>
      <c r="P536" s="34"/>
      <c r="Q536" s="2">
        <f t="shared" si="1512"/>
        <v>9</v>
      </c>
      <c r="R536" s="2">
        <f t="shared" si="1508"/>
        <v>-9</v>
      </c>
      <c r="S536" s="2"/>
      <c r="T536" s="2"/>
      <c r="U536" s="2">
        <f t="shared" ref="U536" si="1520">0.098*J536*M536*0.5*R536</f>
        <v>0</v>
      </c>
      <c r="V536" s="10">
        <f t="shared" ref="V536" si="1521">0.098*J536*M536*Q536</f>
        <v>0</v>
      </c>
      <c r="W536" s="2">
        <f t="shared" ref="W536" si="1522">0.098*J536*M536*(S536-T536)</f>
        <v>0</v>
      </c>
      <c r="X536" s="84"/>
      <c r="Y536" s="82"/>
      <c r="Z536" s="101">
        <f t="shared" ref="Z536" si="1523">_xlfn.STDEV.S(R533:R538)</f>
        <v>3.7416573867739413</v>
      </c>
    </row>
    <row r="537" spans="1:26" x14ac:dyDescent="0.2">
      <c r="A537" s="101"/>
      <c r="B537" s="102"/>
      <c r="C537" s="102"/>
      <c r="D537" s="102"/>
      <c r="E537" s="102"/>
      <c r="F537" s="102"/>
      <c r="G537" s="102"/>
      <c r="H537" s="103"/>
      <c r="I537" s="75"/>
      <c r="J537" s="87"/>
      <c r="K537" s="90"/>
      <c r="L537" s="93"/>
      <c r="M537" s="93"/>
      <c r="N537" s="114"/>
      <c r="O537" s="34"/>
      <c r="P537" s="34"/>
      <c r="Q537" s="2">
        <f t="shared" si="1512"/>
        <v>7</v>
      </c>
      <c r="R537" s="2">
        <f t="shared" si="1508"/>
        <v>-7</v>
      </c>
      <c r="S537" s="2"/>
      <c r="T537" s="2"/>
      <c r="U537" s="2">
        <f t="shared" ref="U537" si="1524">0.098*J536*M536*0.5*R537</f>
        <v>0</v>
      </c>
      <c r="V537" s="10">
        <f t="shared" ref="V537" si="1525">0.098*J536*M536*Q537</f>
        <v>0</v>
      </c>
      <c r="W537" s="2">
        <f t="shared" ref="W537" si="1526">0.098*J536*M536*(S537-T537)</f>
        <v>0</v>
      </c>
      <c r="X537" s="84"/>
      <c r="Y537" s="82"/>
      <c r="Z537" s="101"/>
    </row>
    <row r="538" spans="1:26" ht="17" thickBot="1" x14ac:dyDescent="0.25">
      <c r="A538" s="104"/>
      <c r="B538" s="105"/>
      <c r="C538" s="105"/>
      <c r="D538" s="105"/>
      <c r="E538" s="105"/>
      <c r="F538" s="105"/>
      <c r="G538" s="105"/>
      <c r="H538" s="106"/>
      <c r="I538" s="117"/>
      <c r="J538" s="88"/>
      <c r="K538" s="91"/>
      <c r="L538" s="94"/>
      <c r="M538" s="94"/>
      <c r="N538" s="115"/>
      <c r="O538" s="35"/>
      <c r="P538" s="35"/>
      <c r="Q538" s="20">
        <f t="shared" si="1512"/>
        <v>5</v>
      </c>
      <c r="R538" s="2">
        <f t="shared" si="1508"/>
        <v>-5</v>
      </c>
      <c r="S538" s="20"/>
      <c r="T538" s="20"/>
      <c r="U538" s="20">
        <f t="shared" ref="U538" si="1527">0.098*J536*M536*0.5*R538</f>
        <v>0</v>
      </c>
      <c r="V538" s="21">
        <f t="shared" ref="V538" si="1528">0.098*J536*M536*Q538</f>
        <v>0</v>
      </c>
      <c r="W538" s="20">
        <f t="shared" ref="W538" si="1529">0.098*J536*M536*(S538-T538)</f>
        <v>0</v>
      </c>
      <c r="X538" s="85"/>
      <c r="Y538" s="83"/>
      <c r="Z538" s="101"/>
    </row>
    <row r="539" spans="1:26" x14ac:dyDescent="0.2">
      <c r="A539" s="107" t="s">
        <v>8</v>
      </c>
      <c r="B539" s="110" t="s">
        <v>3</v>
      </c>
      <c r="C539" s="110" t="s">
        <v>7</v>
      </c>
      <c r="D539" s="110" t="s">
        <v>9</v>
      </c>
      <c r="E539" s="71" t="s">
        <v>11</v>
      </c>
      <c r="F539" s="71" t="s">
        <v>10</v>
      </c>
      <c r="G539" s="71" t="s">
        <v>12</v>
      </c>
      <c r="H539" s="71" t="s">
        <v>32</v>
      </c>
      <c r="I539" s="74" t="s">
        <v>14</v>
      </c>
      <c r="J539" s="67" t="s">
        <v>31</v>
      </c>
      <c r="K539" s="67" t="s">
        <v>33</v>
      </c>
      <c r="L539" s="67" t="s">
        <v>17</v>
      </c>
      <c r="M539" s="67" t="s">
        <v>0</v>
      </c>
      <c r="N539" s="113" t="s">
        <v>16</v>
      </c>
      <c r="O539" s="4" t="s">
        <v>6</v>
      </c>
      <c r="P539" s="4" t="s">
        <v>34</v>
      </c>
      <c r="Q539" s="17" t="s">
        <v>2</v>
      </c>
      <c r="R539" s="17" t="s">
        <v>1</v>
      </c>
      <c r="S539" s="17" t="s">
        <v>25</v>
      </c>
      <c r="T539" s="17" t="s">
        <v>26</v>
      </c>
      <c r="U539" s="18" t="s">
        <v>20</v>
      </c>
      <c r="V539" s="18" t="s">
        <v>22</v>
      </c>
      <c r="W539" s="18" t="s">
        <v>24</v>
      </c>
      <c r="X539" s="77" t="s">
        <v>19</v>
      </c>
      <c r="Y539" s="79" t="s">
        <v>23</v>
      </c>
      <c r="Z539" s="125" t="s">
        <v>39</v>
      </c>
    </row>
    <row r="540" spans="1:26" x14ac:dyDescent="0.2">
      <c r="A540" s="108"/>
      <c r="B540" s="111"/>
      <c r="C540" s="111"/>
      <c r="D540" s="111"/>
      <c r="E540" s="72"/>
      <c r="F540" s="72"/>
      <c r="G540" s="72"/>
      <c r="H540" s="72"/>
      <c r="I540" s="75"/>
      <c r="J540" s="68"/>
      <c r="K540" s="68"/>
      <c r="L540" s="68"/>
      <c r="M540" s="68"/>
      <c r="N540" s="114"/>
      <c r="O540" s="34"/>
      <c r="P540" s="34"/>
      <c r="Q540" s="2">
        <v>15</v>
      </c>
      <c r="R540" s="2">
        <f t="shared" ref="R540:R545" si="1530">T540-Q540</f>
        <v>-15</v>
      </c>
      <c r="S540" s="2"/>
      <c r="T540" s="2"/>
      <c r="U540" s="9">
        <f t="shared" ref="U540" si="1531">0.098*J543*M543*0.5*R540</f>
        <v>0</v>
      </c>
      <c r="V540" s="9">
        <f t="shared" ref="V540" si="1532">0.098*J543*M543*Q540</f>
        <v>0</v>
      </c>
      <c r="W540" s="8">
        <f t="shared" ref="W540" si="1533">0.098*J543*M543*(S540-T540)</f>
        <v>0</v>
      </c>
      <c r="X540" s="78"/>
      <c r="Y540" s="80"/>
      <c r="Z540" s="125"/>
    </row>
    <row r="541" spans="1:26" x14ac:dyDescent="0.2">
      <c r="A541" s="108"/>
      <c r="B541" s="111"/>
      <c r="C541" s="111"/>
      <c r="D541" s="111"/>
      <c r="E541" s="72"/>
      <c r="F541" s="72"/>
      <c r="G541" s="72"/>
      <c r="H541" s="72"/>
      <c r="I541" s="75"/>
      <c r="J541" s="68"/>
      <c r="K541" s="68"/>
      <c r="L541" s="68"/>
      <c r="M541" s="68"/>
      <c r="N541" s="114"/>
      <c r="O541" s="34"/>
      <c r="P541" s="34"/>
      <c r="Q541" s="2">
        <f t="shared" ref="Q541:Q545" si="1534">Q540-2</f>
        <v>13</v>
      </c>
      <c r="R541" s="2">
        <f t="shared" si="1530"/>
        <v>-13</v>
      </c>
      <c r="S541" s="2"/>
      <c r="T541" s="2"/>
      <c r="U541" s="9">
        <f t="shared" ref="U541" si="1535">0.098*J543*M543*0.5*R541</f>
        <v>0</v>
      </c>
      <c r="V541" s="9">
        <f t="shared" ref="V541" si="1536">0.098*J543*M543*Q541</f>
        <v>0</v>
      </c>
      <c r="W541" s="8">
        <f t="shared" ref="W541" si="1537">0.098*J543*M543*(S541-T541)</f>
        <v>0</v>
      </c>
      <c r="X541" s="23"/>
      <c r="Y541" s="81"/>
      <c r="Z541" s="125"/>
    </row>
    <row r="542" spans="1:26" x14ac:dyDescent="0.2">
      <c r="A542" s="108"/>
      <c r="B542" s="111"/>
      <c r="C542" s="111"/>
      <c r="D542" s="111"/>
      <c r="E542" s="72"/>
      <c r="F542" s="72"/>
      <c r="G542" s="72"/>
      <c r="H542" s="72"/>
      <c r="I542" s="75"/>
      <c r="J542" s="69"/>
      <c r="K542" s="69"/>
      <c r="L542" s="69"/>
      <c r="M542" s="69"/>
      <c r="N542" s="114"/>
      <c r="O542" s="34"/>
      <c r="P542" s="34"/>
      <c r="Q542" s="2">
        <f t="shared" si="1534"/>
        <v>11</v>
      </c>
      <c r="R542" s="2">
        <f t="shared" si="1530"/>
        <v>-11</v>
      </c>
      <c r="S542" s="2"/>
      <c r="T542" s="2"/>
      <c r="U542" s="9">
        <f t="shared" ref="U542" si="1538">0.098*J543*M543*0.5*R542</f>
        <v>0</v>
      </c>
      <c r="V542" s="9">
        <f t="shared" ref="V542" si="1539">0.098*J543*M543*Q542</f>
        <v>0</v>
      </c>
      <c r="W542" s="8">
        <f t="shared" ref="W542" si="1540">0.098*J543*M543*(S542-T542)</f>
        <v>0</v>
      </c>
      <c r="X542" s="84"/>
      <c r="Y542" s="82"/>
      <c r="Z542" s="125"/>
    </row>
    <row r="543" spans="1:26" x14ac:dyDescent="0.2">
      <c r="A543" s="108"/>
      <c r="B543" s="111"/>
      <c r="C543" s="111"/>
      <c r="D543" s="111"/>
      <c r="E543" s="72"/>
      <c r="F543" s="72"/>
      <c r="G543" s="72"/>
      <c r="H543" s="72"/>
      <c r="I543" s="75"/>
      <c r="J543" s="86">
        <f t="shared" ref="J543" si="1541">(7*F546)/1000</f>
        <v>-0.62078800000000001</v>
      </c>
      <c r="K543" s="89"/>
      <c r="L543" s="92"/>
      <c r="M543" s="92"/>
      <c r="N543" s="114"/>
      <c r="O543" s="34"/>
      <c r="P543" s="34"/>
      <c r="Q543" s="2">
        <f t="shared" si="1534"/>
        <v>9</v>
      </c>
      <c r="R543" s="2">
        <f t="shared" si="1530"/>
        <v>-9</v>
      </c>
      <c r="S543" s="2"/>
      <c r="T543" s="2"/>
      <c r="U543" s="9">
        <f t="shared" ref="U543" si="1542">0.098*J543*M543*0.5*R543</f>
        <v>0</v>
      </c>
      <c r="V543" s="9">
        <f t="shared" ref="V543" si="1543">0.098*J543*M543*Q543</f>
        <v>0</v>
      </c>
      <c r="W543" s="8">
        <f t="shared" ref="W543" si="1544">0.098*J543*M543*(S543-T543)</f>
        <v>0</v>
      </c>
      <c r="X543" s="84"/>
      <c r="Y543" s="82"/>
      <c r="Z543" s="101">
        <f t="shared" ref="Z543" si="1545">_xlfn.STDEV.S(R540:R545)</f>
        <v>3.7416573867739413</v>
      </c>
    </row>
    <row r="544" spans="1:26" x14ac:dyDescent="0.2">
      <c r="A544" s="108"/>
      <c r="B544" s="111"/>
      <c r="C544" s="111"/>
      <c r="D544" s="111"/>
      <c r="E544" s="72"/>
      <c r="F544" s="72"/>
      <c r="G544" s="72"/>
      <c r="H544" s="72"/>
      <c r="I544" s="75"/>
      <c r="J544" s="87"/>
      <c r="K544" s="90"/>
      <c r="L544" s="93"/>
      <c r="M544" s="93"/>
      <c r="N544" s="114"/>
      <c r="O544" s="34"/>
      <c r="P544" s="34"/>
      <c r="Q544" s="2">
        <f t="shared" si="1534"/>
        <v>7</v>
      </c>
      <c r="R544" s="2">
        <f t="shared" si="1530"/>
        <v>-7</v>
      </c>
      <c r="S544" s="2"/>
      <c r="T544" s="2"/>
      <c r="U544" s="9">
        <f t="shared" ref="U544" si="1546">0.098*J543*M543*0.5*R544</f>
        <v>0</v>
      </c>
      <c r="V544" s="9">
        <f t="shared" ref="V544" si="1547">0.098*J543*M543*Q544</f>
        <v>0</v>
      </c>
      <c r="W544" s="8">
        <f t="shared" ref="W544" si="1548">0.098*J543*M543*(S544-T544)</f>
        <v>0</v>
      </c>
      <c r="X544" s="84"/>
      <c r="Y544" s="82"/>
      <c r="Z544" s="101"/>
    </row>
    <row r="545" spans="1:26" ht="17" thickBot="1" x14ac:dyDescent="0.25">
      <c r="A545" s="109"/>
      <c r="B545" s="112"/>
      <c r="C545" s="112"/>
      <c r="D545" s="112"/>
      <c r="E545" s="73"/>
      <c r="F545" s="73"/>
      <c r="G545" s="73"/>
      <c r="H545" s="73"/>
      <c r="I545" s="76"/>
      <c r="J545" s="97"/>
      <c r="K545" s="96"/>
      <c r="L545" s="95"/>
      <c r="M545" s="95"/>
      <c r="N545" s="114"/>
      <c r="O545" s="34"/>
      <c r="P545" s="34"/>
      <c r="Q545" s="2">
        <f t="shared" si="1534"/>
        <v>5</v>
      </c>
      <c r="R545" s="2">
        <f t="shared" si="1530"/>
        <v>-5</v>
      </c>
      <c r="S545" s="2"/>
      <c r="T545" s="2"/>
      <c r="U545" s="9">
        <f t="shared" ref="U545" si="1549">0.098*J543*M543*0.5*R545</f>
        <v>0</v>
      </c>
      <c r="V545" s="9">
        <f t="shared" ref="V545" si="1550">0.098*J543*M543*Q545</f>
        <v>0</v>
      </c>
      <c r="W545" s="8">
        <f t="shared" ref="W545" si="1551">0.098*J543*M543*(S545-T545)</f>
        <v>0</v>
      </c>
      <c r="X545" s="84"/>
      <c r="Y545" s="82"/>
      <c r="Z545" s="101"/>
    </row>
    <row r="546" spans="1:26" x14ac:dyDescent="0.2">
      <c r="A546" s="19">
        <f t="shared" si="1415"/>
        <v>38</v>
      </c>
      <c r="B546" s="3" t="s">
        <v>5</v>
      </c>
      <c r="C546" s="3"/>
      <c r="D546" s="3"/>
      <c r="E546" s="3"/>
      <c r="F546" s="3">
        <f t="shared" ref="F546" si="1552">IF(B546="M", 50 + 0.91*(D546-152.4), IF(B546="F", 45.5 + 0.91*(D546-152.4), ""))</f>
        <v>-88.683999999999997</v>
      </c>
      <c r="G546" s="3"/>
      <c r="H546" s="3" t="e">
        <f t="shared" ref="H546" si="1553">E546/(D546*10^-2)^2</f>
        <v>#DIV/0!</v>
      </c>
      <c r="I546" s="116" t="s">
        <v>15</v>
      </c>
      <c r="J546" s="70" t="s">
        <v>31</v>
      </c>
      <c r="K546" s="70" t="s">
        <v>33</v>
      </c>
      <c r="L546" s="70" t="s">
        <v>17</v>
      </c>
      <c r="M546" s="70" t="s">
        <v>0</v>
      </c>
      <c r="N546" s="114"/>
      <c r="O546" s="4" t="s">
        <v>6</v>
      </c>
      <c r="P546" s="4" t="s">
        <v>34</v>
      </c>
      <c r="Q546" s="6" t="s">
        <v>2</v>
      </c>
      <c r="R546" s="17" t="s">
        <v>1</v>
      </c>
      <c r="S546" s="17" t="s">
        <v>25</v>
      </c>
      <c r="T546" s="17" t="s">
        <v>26</v>
      </c>
      <c r="U546" s="7" t="s">
        <v>21</v>
      </c>
      <c r="V546" s="7" t="s">
        <v>22</v>
      </c>
      <c r="W546" s="7" t="s">
        <v>24</v>
      </c>
      <c r="X546" s="84"/>
      <c r="Y546" s="82"/>
      <c r="Z546" s="125" t="s">
        <v>39</v>
      </c>
    </row>
    <row r="547" spans="1:26" x14ac:dyDescent="0.2">
      <c r="A547" s="98"/>
      <c r="B547" s="99"/>
      <c r="C547" s="99"/>
      <c r="D547" s="99"/>
      <c r="E547" s="99"/>
      <c r="F547" s="99"/>
      <c r="G547" s="99"/>
      <c r="H547" s="100"/>
      <c r="I547" s="75"/>
      <c r="J547" s="68"/>
      <c r="K547" s="68"/>
      <c r="L547" s="68"/>
      <c r="M547" s="68"/>
      <c r="N547" s="114"/>
      <c r="O547" s="34"/>
      <c r="P547" s="34"/>
      <c r="Q547" s="2">
        <v>15</v>
      </c>
      <c r="R547" s="2">
        <f t="shared" ref="R547:R552" si="1554">T547-Q547</f>
        <v>-15</v>
      </c>
      <c r="S547" s="2"/>
      <c r="T547" s="2"/>
      <c r="U547" s="2">
        <f t="shared" ref="U547" si="1555">0.098*J550*M550*0.5*R547</f>
        <v>0</v>
      </c>
      <c r="V547" s="10">
        <f t="shared" ref="V547" si="1556">0.098*J550*M550*Q547</f>
        <v>0</v>
      </c>
      <c r="W547" s="2">
        <f t="shared" ref="W547" si="1557">0.098*J550*M550*(S547-T547)</f>
        <v>0</v>
      </c>
      <c r="X547" s="84"/>
      <c r="Y547" s="82"/>
      <c r="Z547" s="125"/>
    </row>
    <row r="548" spans="1:26" x14ac:dyDescent="0.2">
      <c r="A548" s="101"/>
      <c r="B548" s="102"/>
      <c r="C548" s="102"/>
      <c r="D548" s="102"/>
      <c r="E548" s="102"/>
      <c r="F548" s="102"/>
      <c r="G548" s="102"/>
      <c r="H548" s="103"/>
      <c r="I548" s="75"/>
      <c r="J548" s="68"/>
      <c r="K548" s="68"/>
      <c r="L548" s="68"/>
      <c r="M548" s="68"/>
      <c r="N548" s="114"/>
      <c r="O548" s="34"/>
      <c r="P548" s="34"/>
      <c r="Q548" s="2">
        <f t="shared" ref="Q548:Q552" si="1558">Q547-2</f>
        <v>13</v>
      </c>
      <c r="R548" s="2">
        <f t="shared" si="1554"/>
        <v>-13</v>
      </c>
      <c r="S548" s="2"/>
      <c r="T548" s="2"/>
      <c r="U548" s="2">
        <f t="shared" ref="U548" si="1559">0.098*J550*M550*0.5*R548</f>
        <v>0</v>
      </c>
      <c r="V548" s="10">
        <f t="shared" ref="V548" si="1560">0.098*J550*M550*Q548</f>
        <v>0</v>
      </c>
      <c r="W548" s="2">
        <f t="shared" ref="W548" si="1561">0.098*J550*M550*(S548-T548)</f>
        <v>0</v>
      </c>
      <c r="X548" s="84"/>
      <c r="Y548" s="82"/>
      <c r="Z548" s="125"/>
    </row>
    <row r="549" spans="1:26" x14ac:dyDescent="0.2">
      <c r="A549" s="101"/>
      <c r="B549" s="102"/>
      <c r="C549" s="102"/>
      <c r="D549" s="102"/>
      <c r="E549" s="102"/>
      <c r="F549" s="102"/>
      <c r="G549" s="102"/>
      <c r="H549" s="103"/>
      <c r="I549" s="75"/>
      <c r="J549" s="69"/>
      <c r="K549" s="69"/>
      <c r="L549" s="69"/>
      <c r="M549" s="69"/>
      <c r="N549" s="114"/>
      <c r="O549" s="34"/>
      <c r="P549" s="34"/>
      <c r="Q549" s="2">
        <f t="shared" si="1558"/>
        <v>11</v>
      </c>
      <c r="R549" s="2">
        <f t="shared" si="1554"/>
        <v>-11</v>
      </c>
      <c r="S549" s="2"/>
      <c r="T549" s="2"/>
      <c r="U549" s="2">
        <f t="shared" ref="U549" si="1562">0.098*J550*M550*0.5*R549</f>
        <v>0</v>
      </c>
      <c r="V549" s="10">
        <f t="shared" ref="V549" si="1563">0.098*J550*M550*Q549</f>
        <v>0</v>
      </c>
      <c r="W549" s="2">
        <f t="shared" ref="W549" si="1564">0.098*J550*M550*(S549-T549)</f>
        <v>0</v>
      </c>
      <c r="X549" s="84"/>
      <c r="Y549" s="82"/>
      <c r="Z549" s="125"/>
    </row>
    <row r="550" spans="1:26" x14ac:dyDescent="0.2">
      <c r="A550" s="101"/>
      <c r="B550" s="102"/>
      <c r="C550" s="102"/>
      <c r="D550" s="102"/>
      <c r="E550" s="102"/>
      <c r="F550" s="102"/>
      <c r="G550" s="102"/>
      <c r="H550" s="103"/>
      <c r="I550" s="75"/>
      <c r="J550" s="86">
        <f t="shared" ref="J550" si="1565">(9*F546)/1000</f>
        <v>-0.79815599999999998</v>
      </c>
      <c r="K550" s="89"/>
      <c r="L550" s="92"/>
      <c r="M550" s="92"/>
      <c r="N550" s="114"/>
      <c r="O550" s="34"/>
      <c r="P550" s="34"/>
      <c r="Q550" s="2">
        <f t="shared" si="1558"/>
        <v>9</v>
      </c>
      <c r="R550" s="2">
        <f t="shared" si="1554"/>
        <v>-9</v>
      </c>
      <c r="S550" s="2"/>
      <c r="T550" s="2"/>
      <c r="U550" s="2">
        <f t="shared" ref="U550" si="1566">0.098*J550*M550*0.5*R550</f>
        <v>0</v>
      </c>
      <c r="V550" s="10">
        <f t="shared" ref="V550" si="1567">0.098*J550*M550*Q550</f>
        <v>0</v>
      </c>
      <c r="W550" s="2">
        <f t="shared" ref="W550" si="1568">0.098*J550*M550*(S550-T550)</f>
        <v>0</v>
      </c>
      <c r="X550" s="84"/>
      <c r="Y550" s="82"/>
      <c r="Z550" s="101">
        <f t="shared" ref="Z550" si="1569">_xlfn.STDEV.S(R547:R552)</f>
        <v>3.7416573867739413</v>
      </c>
    </row>
    <row r="551" spans="1:26" x14ac:dyDescent="0.2">
      <c r="A551" s="101"/>
      <c r="B551" s="102"/>
      <c r="C551" s="102"/>
      <c r="D551" s="102"/>
      <c r="E551" s="102"/>
      <c r="F551" s="102"/>
      <c r="G551" s="102"/>
      <c r="H551" s="103"/>
      <c r="I551" s="75"/>
      <c r="J551" s="87"/>
      <c r="K551" s="90"/>
      <c r="L551" s="93"/>
      <c r="M551" s="93"/>
      <c r="N551" s="114"/>
      <c r="O551" s="34"/>
      <c r="P551" s="34"/>
      <c r="Q551" s="2">
        <f t="shared" si="1558"/>
        <v>7</v>
      </c>
      <c r="R551" s="2">
        <f t="shared" si="1554"/>
        <v>-7</v>
      </c>
      <c r="S551" s="2"/>
      <c r="T551" s="2"/>
      <c r="U551" s="2">
        <f t="shared" ref="U551" si="1570">0.098*J550*M550*0.5*R551</f>
        <v>0</v>
      </c>
      <c r="V551" s="10">
        <f t="shared" ref="V551" si="1571">0.098*J550*M550*Q551</f>
        <v>0</v>
      </c>
      <c r="W551" s="2">
        <f t="shared" ref="W551" si="1572">0.098*J550*M550*(S551-T551)</f>
        <v>0</v>
      </c>
      <c r="X551" s="84"/>
      <c r="Y551" s="82"/>
      <c r="Z551" s="101"/>
    </row>
    <row r="552" spans="1:26" ht="17" thickBot="1" x14ac:dyDescent="0.25">
      <c r="A552" s="104"/>
      <c r="B552" s="105"/>
      <c r="C552" s="105"/>
      <c r="D552" s="105"/>
      <c r="E552" s="105"/>
      <c r="F552" s="105"/>
      <c r="G552" s="105"/>
      <c r="H552" s="106"/>
      <c r="I552" s="117"/>
      <c r="J552" s="88"/>
      <c r="K552" s="91"/>
      <c r="L552" s="94"/>
      <c r="M552" s="94"/>
      <c r="N552" s="115"/>
      <c r="O552" s="35"/>
      <c r="P552" s="35"/>
      <c r="Q552" s="20">
        <f t="shared" si="1558"/>
        <v>5</v>
      </c>
      <c r="R552" s="2">
        <f t="shared" si="1554"/>
        <v>-5</v>
      </c>
      <c r="S552" s="20"/>
      <c r="T552" s="20"/>
      <c r="U552" s="20">
        <f t="shared" ref="U552" si="1573">0.098*J550*M550*0.5*R552</f>
        <v>0</v>
      </c>
      <c r="V552" s="21">
        <f t="shared" ref="V552" si="1574">0.098*J550*M550*Q552</f>
        <v>0</v>
      </c>
      <c r="W552" s="20">
        <f t="shared" ref="W552" si="1575">0.098*J550*M550*(S552-T552)</f>
        <v>0</v>
      </c>
      <c r="X552" s="85"/>
      <c r="Y552" s="83"/>
      <c r="Z552" s="101"/>
    </row>
    <row r="553" spans="1:26" x14ac:dyDescent="0.2">
      <c r="A553" s="107" t="s">
        <v>8</v>
      </c>
      <c r="B553" s="110" t="s">
        <v>3</v>
      </c>
      <c r="C553" s="110" t="s">
        <v>7</v>
      </c>
      <c r="D553" s="110" t="s">
        <v>9</v>
      </c>
      <c r="E553" s="71" t="s">
        <v>11</v>
      </c>
      <c r="F553" s="71" t="s">
        <v>10</v>
      </c>
      <c r="G553" s="71" t="s">
        <v>12</v>
      </c>
      <c r="H553" s="71" t="s">
        <v>32</v>
      </c>
      <c r="I553" s="74" t="s">
        <v>14</v>
      </c>
      <c r="J553" s="67" t="s">
        <v>31</v>
      </c>
      <c r="K553" s="67" t="s">
        <v>33</v>
      </c>
      <c r="L553" s="67" t="s">
        <v>17</v>
      </c>
      <c r="M553" s="67" t="s">
        <v>0</v>
      </c>
      <c r="N553" s="113" t="s">
        <v>16</v>
      </c>
      <c r="O553" s="4" t="s">
        <v>6</v>
      </c>
      <c r="P553" s="4" t="s">
        <v>34</v>
      </c>
      <c r="Q553" s="17" t="s">
        <v>2</v>
      </c>
      <c r="R553" s="17" t="s">
        <v>1</v>
      </c>
      <c r="S553" s="17" t="s">
        <v>25</v>
      </c>
      <c r="T553" s="17" t="s">
        <v>26</v>
      </c>
      <c r="U553" s="18" t="s">
        <v>20</v>
      </c>
      <c r="V553" s="18" t="s">
        <v>22</v>
      </c>
      <c r="W553" s="18" t="s">
        <v>24</v>
      </c>
      <c r="X553" s="77" t="s">
        <v>19</v>
      </c>
      <c r="Y553" s="79" t="s">
        <v>23</v>
      </c>
      <c r="Z553" s="125" t="s">
        <v>39</v>
      </c>
    </row>
    <row r="554" spans="1:26" x14ac:dyDescent="0.2">
      <c r="A554" s="108"/>
      <c r="B554" s="111"/>
      <c r="C554" s="111"/>
      <c r="D554" s="111"/>
      <c r="E554" s="72"/>
      <c r="F554" s="72"/>
      <c r="G554" s="72"/>
      <c r="H554" s="72"/>
      <c r="I554" s="75"/>
      <c r="J554" s="68"/>
      <c r="K554" s="68"/>
      <c r="L554" s="68"/>
      <c r="M554" s="68"/>
      <c r="N554" s="114"/>
      <c r="O554" s="34"/>
      <c r="P554" s="34"/>
      <c r="Q554" s="2">
        <v>15</v>
      </c>
      <c r="R554" s="2">
        <f t="shared" ref="R554:R559" si="1576">T554-Q554</f>
        <v>-15</v>
      </c>
      <c r="S554" s="2"/>
      <c r="T554" s="2"/>
      <c r="U554" s="9">
        <f t="shared" ref="U554" si="1577">0.098*J557*M557*0.5*R554</f>
        <v>0</v>
      </c>
      <c r="V554" s="9">
        <f t="shared" ref="V554" si="1578">0.098*J557*M557*Q554</f>
        <v>0</v>
      </c>
      <c r="W554" s="8">
        <f t="shared" ref="W554" si="1579">0.098*J557*M557*(S554-T554)</f>
        <v>0</v>
      </c>
      <c r="X554" s="78"/>
      <c r="Y554" s="80"/>
      <c r="Z554" s="125"/>
    </row>
    <row r="555" spans="1:26" x14ac:dyDescent="0.2">
      <c r="A555" s="108"/>
      <c r="B555" s="111"/>
      <c r="C555" s="111"/>
      <c r="D555" s="111"/>
      <c r="E555" s="72"/>
      <c r="F555" s="72"/>
      <c r="G555" s="72"/>
      <c r="H555" s="72"/>
      <c r="I555" s="75"/>
      <c r="J555" s="68"/>
      <c r="K555" s="68"/>
      <c r="L555" s="68"/>
      <c r="M555" s="68"/>
      <c r="N555" s="114"/>
      <c r="O555" s="34"/>
      <c r="P555" s="34"/>
      <c r="Q555" s="2">
        <f t="shared" ref="Q555:Q559" si="1580">Q554-2</f>
        <v>13</v>
      </c>
      <c r="R555" s="2">
        <f t="shared" si="1576"/>
        <v>-13</v>
      </c>
      <c r="S555" s="2"/>
      <c r="T555" s="2"/>
      <c r="U555" s="9">
        <f t="shared" ref="U555" si="1581">0.098*J557*M557*0.5*R555</f>
        <v>0</v>
      </c>
      <c r="V555" s="9">
        <f t="shared" ref="V555" si="1582">0.098*J557*M557*Q555</f>
        <v>0</v>
      </c>
      <c r="W555" s="8">
        <f t="shared" ref="W555" si="1583">0.098*J557*M557*(S555-T555)</f>
        <v>0</v>
      </c>
      <c r="X555" s="23"/>
      <c r="Y555" s="81"/>
      <c r="Z555" s="125"/>
    </row>
    <row r="556" spans="1:26" x14ac:dyDescent="0.2">
      <c r="A556" s="108"/>
      <c r="B556" s="111"/>
      <c r="C556" s="111"/>
      <c r="D556" s="111"/>
      <c r="E556" s="72"/>
      <c r="F556" s="72"/>
      <c r="G556" s="72"/>
      <c r="H556" s="72"/>
      <c r="I556" s="75"/>
      <c r="J556" s="69"/>
      <c r="K556" s="69"/>
      <c r="L556" s="69"/>
      <c r="M556" s="69"/>
      <c r="N556" s="114"/>
      <c r="O556" s="34"/>
      <c r="P556" s="34"/>
      <c r="Q556" s="2">
        <f t="shared" si="1580"/>
        <v>11</v>
      </c>
      <c r="R556" s="2">
        <f t="shared" si="1576"/>
        <v>-11</v>
      </c>
      <c r="S556" s="2"/>
      <c r="T556" s="2"/>
      <c r="U556" s="9">
        <f t="shared" ref="U556" si="1584">0.098*J557*M557*0.5*R556</f>
        <v>0</v>
      </c>
      <c r="V556" s="9">
        <f t="shared" ref="V556" si="1585">0.098*J557*M557*Q556</f>
        <v>0</v>
      </c>
      <c r="W556" s="8">
        <f t="shared" ref="W556" si="1586">0.098*J557*M557*(S556-T556)</f>
        <v>0</v>
      </c>
      <c r="X556" s="84"/>
      <c r="Y556" s="82"/>
      <c r="Z556" s="125"/>
    </row>
    <row r="557" spans="1:26" x14ac:dyDescent="0.2">
      <c r="A557" s="108"/>
      <c r="B557" s="111"/>
      <c r="C557" s="111"/>
      <c r="D557" s="111"/>
      <c r="E557" s="72"/>
      <c r="F557" s="72"/>
      <c r="G557" s="72"/>
      <c r="H557" s="72"/>
      <c r="I557" s="75"/>
      <c r="J557" s="86">
        <f t="shared" ref="J557" si="1587">(7*F560)/1000</f>
        <v>-0.62078800000000001</v>
      </c>
      <c r="K557" s="89"/>
      <c r="L557" s="92"/>
      <c r="M557" s="92"/>
      <c r="N557" s="114"/>
      <c r="O557" s="34"/>
      <c r="P557" s="34"/>
      <c r="Q557" s="2">
        <f t="shared" si="1580"/>
        <v>9</v>
      </c>
      <c r="R557" s="2">
        <f t="shared" si="1576"/>
        <v>-9</v>
      </c>
      <c r="S557" s="2"/>
      <c r="T557" s="2"/>
      <c r="U557" s="9">
        <f t="shared" ref="U557" si="1588">0.098*J557*M557*0.5*R557</f>
        <v>0</v>
      </c>
      <c r="V557" s="9">
        <f t="shared" ref="V557" si="1589">0.098*J557*M557*Q557</f>
        <v>0</v>
      </c>
      <c r="W557" s="8">
        <f t="shared" ref="W557" si="1590">0.098*J557*M557*(S557-T557)</f>
        <v>0</v>
      </c>
      <c r="X557" s="84"/>
      <c r="Y557" s="82"/>
      <c r="Z557" s="101">
        <f t="shared" ref="Z557" si="1591">_xlfn.STDEV.S(R554:R559)</f>
        <v>3.7416573867739413</v>
      </c>
    </row>
    <row r="558" spans="1:26" x14ac:dyDescent="0.2">
      <c r="A558" s="108"/>
      <c r="B558" s="111"/>
      <c r="C558" s="111"/>
      <c r="D558" s="111"/>
      <c r="E558" s="72"/>
      <c r="F558" s="72"/>
      <c r="G558" s="72"/>
      <c r="H558" s="72"/>
      <c r="I558" s="75"/>
      <c r="J558" s="87"/>
      <c r="K558" s="90"/>
      <c r="L558" s="93"/>
      <c r="M558" s="93"/>
      <c r="N558" s="114"/>
      <c r="O558" s="34"/>
      <c r="P558" s="34"/>
      <c r="Q558" s="2">
        <f t="shared" si="1580"/>
        <v>7</v>
      </c>
      <c r="R558" s="2">
        <f t="shared" si="1576"/>
        <v>-7</v>
      </c>
      <c r="S558" s="2"/>
      <c r="T558" s="2"/>
      <c r="U558" s="9">
        <f t="shared" ref="U558" si="1592">0.098*J557*M557*0.5*R558</f>
        <v>0</v>
      </c>
      <c r="V558" s="9">
        <f t="shared" ref="V558" si="1593">0.098*J557*M557*Q558</f>
        <v>0</v>
      </c>
      <c r="W558" s="8">
        <f t="shared" ref="W558" si="1594">0.098*J557*M557*(S558-T558)</f>
        <v>0</v>
      </c>
      <c r="X558" s="84"/>
      <c r="Y558" s="82"/>
      <c r="Z558" s="101"/>
    </row>
    <row r="559" spans="1:26" ht="17" thickBot="1" x14ac:dyDescent="0.25">
      <c r="A559" s="109"/>
      <c r="B559" s="112"/>
      <c r="C559" s="112"/>
      <c r="D559" s="112"/>
      <c r="E559" s="73"/>
      <c r="F559" s="73"/>
      <c r="G559" s="73"/>
      <c r="H559" s="73"/>
      <c r="I559" s="76"/>
      <c r="J559" s="97"/>
      <c r="K559" s="96"/>
      <c r="L559" s="95"/>
      <c r="M559" s="95"/>
      <c r="N559" s="114"/>
      <c r="O559" s="34"/>
      <c r="P559" s="34"/>
      <c r="Q559" s="2">
        <f t="shared" si="1580"/>
        <v>5</v>
      </c>
      <c r="R559" s="2">
        <f t="shared" si="1576"/>
        <v>-5</v>
      </c>
      <c r="S559" s="2"/>
      <c r="T559" s="2"/>
      <c r="U559" s="9">
        <f t="shared" ref="U559" si="1595">0.098*J557*M557*0.5*R559</f>
        <v>0</v>
      </c>
      <c r="V559" s="9">
        <f t="shared" ref="V559" si="1596">0.098*J557*M557*Q559</f>
        <v>0</v>
      </c>
      <c r="W559" s="8">
        <f t="shared" ref="W559" si="1597">0.098*J557*M557*(S559-T559)</f>
        <v>0</v>
      </c>
      <c r="X559" s="84"/>
      <c r="Y559" s="82"/>
      <c r="Z559" s="101"/>
    </row>
    <row r="560" spans="1:26" x14ac:dyDescent="0.2">
      <c r="A560" s="19">
        <f t="shared" si="1415"/>
        <v>39</v>
      </c>
      <c r="B560" s="3" t="s">
        <v>5</v>
      </c>
      <c r="C560" s="3"/>
      <c r="D560" s="3"/>
      <c r="E560" s="3"/>
      <c r="F560" s="3">
        <f t="shared" ref="F560" si="1598">IF(B560="M", 50 + 0.91*(D560-152.4), IF(B560="F", 45.5 + 0.91*(D560-152.4), ""))</f>
        <v>-88.683999999999997</v>
      </c>
      <c r="G560" s="3"/>
      <c r="H560" s="3" t="e">
        <f t="shared" ref="H560" si="1599">E560/(D560*10^-2)^2</f>
        <v>#DIV/0!</v>
      </c>
      <c r="I560" s="116" t="s">
        <v>15</v>
      </c>
      <c r="J560" s="70" t="s">
        <v>31</v>
      </c>
      <c r="K560" s="70" t="s">
        <v>33</v>
      </c>
      <c r="L560" s="70" t="s">
        <v>17</v>
      </c>
      <c r="M560" s="70" t="s">
        <v>0</v>
      </c>
      <c r="N560" s="114"/>
      <c r="O560" s="4" t="s">
        <v>6</v>
      </c>
      <c r="P560" s="4" t="s">
        <v>34</v>
      </c>
      <c r="Q560" s="6" t="s">
        <v>2</v>
      </c>
      <c r="R560" s="17" t="s">
        <v>1</v>
      </c>
      <c r="S560" s="17" t="s">
        <v>25</v>
      </c>
      <c r="T560" s="17" t="s">
        <v>26</v>
      </c>
      <c r="U560" s="7" t="s">
        <v>21</v>
      </c>
      <c r="V560" s="7" t="s">
        <v>22</v>
      </c>
      <c r="W560" s="7" t="s">
        <v>24</v>
      </c>
      <c r="X560" s="84"/>
      <c r="Y560" s="82"/>
      <c r="Z560" s="125" t="s">
        <v>39</v>
      </c>
    </row>
    <row r="561" spans="1:26" x14ac:dyDescent="0.2">
      <c r="A561" s="98"/>
      <c r="B561" s="99"/>
      <c r="C561" s="99"/>
      <c r="D561" s="99"/>
      <c r="E561" s="99"/>
      <c r="F561" s="99"/>
      <c r="G561" s="99"/>
      <c r="H561" s="100"/>
      <c r="I561" s="75"/>
      <c r="J561" s="68"/>
      <c r="K561" s="68"/>
      <c r="L561" s="68"/>
      <c r="M561" s="68"/>
      <c r="N561" s="114"/>
      <c r="O561" s="34"/>
      <c r="P561" s="34"/>
      <c r="Q561" s="2">
        <v>15</v>
      </c>
      <c r="R561" s="2">
        <f t="shared" ref="R561:R566" si="1600">T561-Q561</f>
        <v>-15</v>
      </c>
      <c r="S561" s="2"/>
      <c r="T561" s="2"/>
      <c r="U561" s="2">
        <f t="shared" ref="U561" si="1601">0.098*J564*M564*0.5*R561</f>
        <v>0</v>
      </c>
      <c r="V561" s="10">
        <f t="shared" ref="V561" si="1602">0.098*J564*M564*Q561</f>
        <v>0</v>
      </c>
      <c r="W561" s="2">
        <f t="shared" ref="W561" si="1603">0.098*J564*M564*(S561-T561)</f>
        <v>0</v>
      </c>
      <c r="X561" s="84"/>
      <c r="Y561" s="82"/>
      <c r="Z561" s="125"/>
    </row>
    <row r="562" spans="1:26" x14ac:dyDescent="0.2">
      <c r="A562" s="101"/>
      <c r="B562" s="102"/>
      <c r="C562" s="102"/>
      <c r="D562" s="102"/>
      <c r="E562" s="102"/>
      <c r="F562" s="102"/>
      <c r="G562" s="102"/>
      <c r="H562" s="103"/>
      <c r="I562" s="75"/>
      <c r="J562" s="68"/>
      <c r="K562" s="68"/>
      <c r="L562" s="68"/>
      <c r="M562" s="68"/>
      <c r="N562" s="114"/>
      <c r="O562" s="34"/>
      <c r="P562" s="34"/>
      <c r="Q562" s="2">
        <f t="shared" ref="Q562:Q566" si="1604">Q561-2</f>
        <v>13</v>
      </c>
      <c r="R562" s="2">
        <f t="shared" si="1600"/>
        <v>-13</v>
      </c>
      <c r="S562" s="2"/>
      <c r="T562" s="2"/>
      <c r="U562" s="2">
        <f t="shared" ref="U562" si="1605">0.098*J564*M564*0.5*R562</f>
        <v>0</v>
      </c>
      <c r="V562" s="10">
        <f t="shared" ref="V562" si="1606">0.098*J564*M564*Q562</f>
        <v>0</v>
      </c>
      <c r="W562" s="2">
        <f t="shared" ref="W562" si="1607">0.098*J564*M564*(S562-T562)</f>
        <v>0</v>
      </c>
      <c r="X562" s="84"/>
      <c r="Y562" s="82"/>
      <c r="Z562" s="125"/>
    </row>
    <row r="563" spans="1:26" x14ac:dyDescent="0.2">
      <c r="A563" s="101"/>
      <c r="B563" s="102"/>
      <c r="C563" s="102"/>
      <c r="D563" s="102"/>
      <c r="E563" s="102"/>
      <c r="F563" s="102"/>
      <c r="G563" s="102"/>
      <c r="H563" s="103"/>
      <c r="I563" s="75"/>
      <c r="J563" s="69"/>
      <c r="K563" s="69"/>
      <c r="L563" s="69"/>
      <c r="M563" s="69"/>
      <c r="N563" s="114"/>
      <c r="O563" s="34"/>
      <c r="P563" s="34"/>
      <c r="Q563" s="2">
        <f t="shared" si="1604"/>
        <v>11</v>
      </c>
      <c r="R563" s="2">
        <f t="shared" si="1600"/>
        <v>-11</v>
      </c>
      <c r="S563" s="2"/>
      <c r="T563" s="2"/>
      <c r="U563" s="2">
        <f t="shared" ref="U563" si="1608">0.098*J564*M564*0.5*R563</f>
        <v>0</v>
      </c>
      <c r="V563" s="10">
        <f t="shared" ref="V563" si="1609">0.098*J564*M564*Q563</f>
        <v>0</v>
      </c>
      <c r="W563" s="2">
        <f t="shared" ref="W563" si="1610">0.098*J564*M564*(S563-T563)</f>
        <v>0</v>
      </c>
      <c r="X563" s="84"/>
      <c r="Y563" s="82"/>
      <c r="Z563" s="125"/>
    </row>
    <row r="564" spans="1:26" x14ac:dyDescent="0.2">
      <c r="A564" s="101"/>
      <c r="B564" s="102"/>
      <c r="C564" s="102"/>
      <c r="D564" s="102"/>
      <c r="E564" s="102"/>
      <c r="F564" s="102"/>
      <c r="G564" s="102"/>
      <c r="H564" s="103"/>
      <c r="I564" s="75"/>
      <c r="J564" s="86">
        <f t="shared" ref="J564" si="1611">(9*F560)/1000</f>
        <v>-0.79815599999999998</v>
      </c>
      <c r="K564" s="89"/>
      <c r="L564" s="92"/>
      <c r="M564" s="92"/>
      <c r="N564" s="114"/>
      <c r="O564" s="34"/>
      <c r="P564" s="34"/>
      <c r="Q564" s="2">
        <f t="shared" si="1604"/>
        <v>9</v>
      </c>
      <c r="R564" s="2">
        <f t="shared" si="1600"/>
        <v>-9</v>
      </c>
      <c r="S564" s="2"/>
      <c r="T564" s="2"/>
      <c r="U564" s="2">
        <f t="shared" ref="U564" si="1612">0.098*J564*M564*0.5*R564</f>
        <v>0</v>
      </c>
      <c r="V564" s="10">
        <f t="shared" ref="V564" si="1613">0.098*J564*M564*Q564</f>
        <v>0</v>
      </c>
      <c r="W564" s="2">
        <f t="shared" ref="W564" si="1614">0.098*J564*M564*(S564-T564)</f>
        <v>0</v>
      </c>
      <c r="X564" s="84"/>
      <c r="Y564" s="82"/>
      <c r="Z564" s="101">
        <f t="shared" ref="Z564" si="1615">_xlfn.STDEV.S(R561:R566)</f>
        <v>3.7416573867739413</v>
      </c>
    </row>
    <row r="565" spans="1:26" x14ac:dyDescent="0.2">
      <c r="A565" s="101"/>
      <c r="B565" s="102"/>
      <c r="C565" s="102"/>
      <c r="D565" s="102"/>
      <c r="E565" s="102"/>
      <c r="F565" s="102"/>
      <c r="G565" s="102"/>
      <c r="H565" s="103"/>
      <c r="I565" s="75"/>
      <c r="J565" s="87"/>
      <c r="K565" s="90"/>
      <c r="L565" s="93"/>
      <c r="M565" s="93"/>
      <c r="N565" s="114"/>
      <c r="O565" s="34"/>
      <c r="P565" s="34"/>
      <c r="Q565" s="2">
        <f t="shared" si="1604"/>
        <v>7</v>
      </c>
      <c r="R565" s="2">
        <f t="shared" si="1600"/>
        <v>-7</v>
      </c>
      <c r="S565" s="2"/>
      <c r="T565" s="2"/>
      <c r="U565" s="2">
        <f t="shared" ref="U565" si="1616">0.098*J564*M564*0.5*R565</f>
        <v>0</v>
      </c>
      <c r="V565" s="10">
        <f t="shared" ref="V565" si="1617">0.098*J564*M564*Q565</f>
        <v>0</v>
      </c>
      <c r="W565" s="2">
        <f t="shared" ref="W565" si="1618">0.098*J564*M564*(S565-T565)</f>
        <v>0</v>
      </c>
      <c r="X565" s="84"/>
      <c r="Y565" s="82"/>
      <c r="Z565" s="101"/>
    </row>
    <row r="566" spans="1:26" ht="17" thickBot="1" x14ac:dyDescent="0.25">
      <c r="A566" s="104"/>
      <c r="B566" s="105"/>
      <c r="C566" s="105"/>
      <c r="D566" s="105"/>
      <c r="E566" s="105"/>
      <c r="F566" s="105"/>
      <c r="G566" s="105"/>
      <c r="H566" s="106"/>
      <c r="I566" s="117"/>
      <c r="J566" s="88"/>
      <c r="K566" s="91"/>
      <c r="L566" s="94"/>
      <c r="M566" s="94"/>
      <c r="N566" s="115"/>
      <c r="O566" s="35"/>
      <c r="P566" s="35"/>
      <c r="Q566" s="20">
        <f t="shared" si="1604"/>
        <v>5</v>
      </c>
      <c r="R566" s="2">
        <f t="shared" si="1600"/>
        <v>-5</v>
      </c>
      <c r="S566" s="20"/>
      <c r="T566" s="20"/>
      <c r="U566" s="20">
        <f t="shared" ref="U566" si="1619">0.098*J564*M564*0.5*R566</f>
        <v>0</v>
      </c>
      <c r="V566" s="21">
        <f t="shared" ref="V566" si="1620">0.098*J564*M564*Q566</f>
        <v>0</v>
      </c>
      <c r="W566" s="20">
        <f t="shared" ref="W566" si="1621">0.098*J564*M564*(S566-T566)</f>
        <v>0</v>
      </c>
      <c r="X566" s="85"/>
      <c r="Y566" s="83"/>
      <c r="Z566" s="101"/>
    </row>
    <row r="567" spans="1:26" x14ac:dyDescent="0.2">
      <c r="A567" s="107" t="s">
        <v>8</v>
      </c>
      <c r="B567" s="110" t="s">
        <v>3</v>
      </c>
      <c r="C567" s="110" t="s">
        <v>7</v>
      </c>
      <c r="D567" s="110" t="s">
        <v>9</v>
      </c>
      <c r="E567" s="71" t="s">
        <v>11</v>
      </c>
      <c r="F567" s="71" t="s">
        <v>10</v>
      </c>
      <c r="G567" s="71" t="s">
        <v>12</v>
      </c>
      <c r="H567" s="71" t="s">
        <v>32</v>
      </c>
      <c r="I567" s="74" t="s">
        <v>14</v>
      </c>
      <c r="J567" s="67" t="s">
        <v>31</v>
      </c>
      <c r="K567" s="67" t="s">
        <v>33</v>
      </c>
      <c r="L567" s="67" t="s">
        <v>17</v>
      </c>
      <c r="M567" s="67" t="s">
        <v>0</v>
      </c>
      <c r="N567" s="113" t="s">
        <v>16</v>
      </c>
      <c r="O567" s="4" t="s">
        <v>6</v>
      </c>
      <c r="P567" s="4" t="s">
        <v>34</v>
      </c>
      <c r="Q567" s="17" t="s">
        <v>2</v>
      </c>
      <c r="R567" s="17" t="s">
        <v>1</v>
      </c>
      <c r="S567" s="17" t="s">
        <v>25</v>
      </c>
      <c r="T567" s="17" t="s">
        <v>26</v>
      </c>
      <c r="U567" s="18" t="s">
        <v>20</v>
      </c>
      <c r="V567" s="18" t="s">
        <v>22</v>
      </c>
      <c r="W567" s="18" t="s">
        <v>24</v>
      </c>
      <c r="X567" s="77" t="s">
        <v>19</v>
      </c>
      <c r="Y567" s="79" t="s">
        <v>23</v>
      </c>
      <c r="Z567" s="125" t="s">
        <v>39</v>
      </c>
    </row>
    <row r="568" spans="1:26" x14ac:dyDescent="0.2">
      <c r="A568" s="108"/>
      <c r="B568" s="111"/>
      <c r="C568" s="111"/>
      <c r="D568" s="111"/>
      <c r="E568" s="72"/>
      <c r="F568" s="72"/>
      <c r="G568" s="72"/>
      <c r="H568" s="72"/>
      <c r="I568" s="75"/>
      <c r="J568" s="68"/>
      <c r="K568" s="68"/>
      <c r="L568" s="68"/>
      <c r="M568" s="68"/>
      <c r="N568" s="114"/>
      <c r="O568" s="34"/>
      <c r="P568" s="34"/>
      <c r="Q568" s="2">
        <v>15</v>
      </c>
      <c r="R568" s="2">
        <f t="shared" ref="R568:R573" si="1622">T568-Q568</f>
        <v>-15</v>
      </c>
      <c r="S568" s="2"/>
      <c r="T568" s="2"/>
      <c r="U568" s="9">
        <f t="shared" ref="U568" si="1623">0.098*J571*M571*0.5*R568</f>
        <v>0</v>
      </c>
      <c r="V568" s="9">
        <f t="shared" ref="V568" si="1624">0.098*J571*M571*Q568</f>
        <v>0</v>
      </c>
      <c r="W568" s="8">
        <f t="shared" ref="W568" si="1625">0.098*J571*M571*(S568-T568)</f>
        <v>0</v>
      </c>
      <c r="X568" s="78"/>
      <c r="Y568" s="80"/>
      <c r="Z568" s="125"/>
    </row>
    <row r="569" spans="1:26" x14ac:dyDescent="0.2">
      <c r="A569" s="108"/>
      <c r="B569" s="111"/>
      <c r="C569" s="111"/>
      <c r="D569" s="111"/>
      <c r="E569" s="72"/>
      <c r="F569" s="72"/>
      <c r="G569" s="72"/>
      <c r="H569" s="72"/>
      <c r="I569" s="75"/>
      <c r="J569" s="68"/>
      <c r="K569" s="68"/>
      <c r="L569" s="68"/>
      <c r="M569" s="68"/>
      <c r="N569" s="114"/>
      <c r="O569" s="34"/>
      <c r="P569" s="34"/>
      <c r="Q569" s="2">
        <f t="shared" ref="Q569:Q573" si="1626">Q568-2</f>
        <v>13</v>
      </c>
      <c r="R569" s="2">
        <f t="shared" si="1622"/>
        <v>-13</v>
      </c>
      <c r="S569" s="2"/>
      <c r="T569" s="2"/>
      <c r="U569" s="9">
        <f t="shared" ref="U569" si="1627">0.098*J571*M571*0.5*R569</f>
        <v>0</v>
      </c>
      <c r="V569" s="9">
        <f t="shared" ref="V569" si="1628">0.098*J571*M571*Q569</f>
        <v>0</v>
      </c>
      <c r="W569" s="8">
        <f t="shared" ref="W569" si="1629">0.098*J571*M571*(S569-T569)</f>
        <v>0</v>
      </c>
      <c r="X569" s="23"/>
      <c r="Y569" s="81"/>
      <c r="Z569" s="125"/>
    </row>
    <row r="570" spans="1:26" x14ac:dyDescent="0.2">
      <c r="A570" s="108"/>
      <c r="B570" s="111"/>
      <c r="C570" s="111"/>
      <c r="D570" s="111"/>
      <c r="E570" s="72"/>
      <c r="F570" s="72"/>
      <c r="G570" s="72"/>
      <c r="H570" s="72"/>
      <c r="I570" s="75"/>
      <c r="J570" s="69"/>
      <c r="K570" s="69"/>
      <c r="L570" s="69"/>
      <c r="M570" s="69"/>
      <c r="N570" s="114"/>
      <c r="O570" s="34"/>
      <c r="P570" s="34"/>
      <c r="Q570" s="2">
        <f t="shared" si="1626"/>
        <v>11</v>
      </c>
      <c r="R570" s="2">
        <f t="shared" si="1622"/>
        <v>-11</v>
      </c>
      <c r="S570" s="2"/>
      <c r="T570" s="2"/>
      <c r="U570" s="9">
        <f t="shared" ref="U570" si="1630">0.098*J571*M571*0.5*R570</f>
        <v>0</v>
      </c>
      <c r="V570" s="9">
        <f t="shared" ref="V570" si="1631">0.098*J571*M571*Q570</f>
        <v>0</v>
      </c>
      <c r="W570" s="8">
        <f t="shared" ref="W570" si="1632">0.098*J571*M571*(S570-T570)</f>
        <v>0</v>
      </c>
      <c r="X570" s="84"/>
      <c r="Y570" s="82"/>
      <c r="Z570" s="125"/>
    </row>
    <row r="571" spans="1:26" x14ac:dyDescent="0.2">
      <c r="A571" s="108"/>
      <c r="B571" s="111"/>
      <c r="C571" s="111"/>
      <c r="D571" s="111"/>
      <c r="E571" s="72"/>
      <c r="F571" s="72"/>
      <c r="G571" s="72"/>
      <c r="H571" s="72"/>
      <c r="I571" s="75"/>
      <c r="J571" s="86">
        <f t="shared" ref="J571" si="1633">(7*F574)/1000</f>
        <v>-0.62078800000000001</v>
      </c>
      <c r="K571" s="89"/>
      <c r="L571" s="92"/>
      <c r="M571" s="92"/>
      <c r="N571" s="114"/>
      <c r="O571" s="34"/>
      <c r="P571" s="34"/>
      <c r="Q571" s="2">
        <f t="shared" si="1626"/>
        <v>9</v>
      </c>
      <c r="R571" s="2">
        <f t="shared" si="1622"/>
        <v>-9</v>
      </c>
      <c r="S571" s="2"/>
      <c r="T571" s="2"/>
      <c r="U571" s="9">
        <f t="shared" ref="U571" si="1634">0.098*J571*M571*0.5*R571</f>
        <v>0</v>
      </c>
      <c r="V571" s="9">
        <f t="shared" ref="V571" si="1635">0.098*J571*M571*Q571</f>
        <v>0</v>
      </c>
      <c r="W571" s="8">
        <f t="shared" ref="W571" si="1636">0.098*J571*M571*(S571-T571)</f>
        <v>0</v>
      </c>
      <c r="X571" s="84"/>
      <c r="Y571" s="82"/>
      <c r="Z571" s="101">
        <f t="shared" ref="Z571" si="1637">_xlfn.STDEV.S(R568:R573)</f>
        <v>3.7416573867739413</v>
      </c>
    </row>
    <row r="572" spans="1:26" x14ac:dyDescent="0.2">
      <c r="A572" s="108"/>
      <c r="B572" s="111"/>
      <c r="C572" s="111"/>
      <c r="D572" s="111"/>
      <c r="E572" s="72"/>
      <c r="F572" s="72"/>
      <c r="G572" s="72"/>
      <c r="H572" s="72"/>
      <c r="I572" s="75"/>
      <c r="J572" s="87"/>
      <c r="K572" s="90"/>
      <c r="L572" s="93"/>
      <c r="M572" s="93"/>
      <c r="N572" s="114"/>
      <c r="O572" s="34"/>
      <c r="P572" s="34"/>
      <c r="Q572" s="2">
        <f t="shared" si="1626"/>
        <v>7</v>
      </c>
      <c r="R572" s="2">
        <f t="shared" si="1622"/>
        <v>-7</v>
      </c>
      <c r="S572" s="2"/>
      <c r="T572" s="2"/>
      <c r="U572" s="9">
        <f t="shared" ref="U572" si="1638">0.098*J571*M571*0.5*R572</f>
        <v>0</v>
      </c>
      <c r="V572" s="9">
        <f t="shared" ref="V572" si="1639">0.098*J571*M571*Q572</f>
        <v>0</v>
      </c>
      <c r="W572" s="8">
        <f t="shared" ref="W572" si="1640">0.098*J571*M571*(S572-T572)</f>
        <v>0</v>
      </c>
      <c r="X572" s="84"/>
      <c r="Y572" s="82"/>
      <c r="Z572" s="101"/>
    </row>
    <row r="573" spans="1:26" ht="17" thickBot="1" x14ac:dyDescent="0.25">
      <c r="A573" s="109"/>
      <c r="B573" s="112"/>
      <c r="C573" s="112"/>
      <c r="D573" s="112"/>
      <c r="E573" s="73"/>
      <c r="F573" s="73"/>
      <c r="G573" s="73"/>
      <c r="H573" s="73"/>
      <c r="I573" s="76"/>
      <c r="J573" s="97"/>
      <c r="K573" s="96"/>
      <c r="L573" s="95"/>
      <c r="M573" s="95"/>
      <c r="N573" s="114"/>
      <c r="O573" s="34"/>
      <c r="P573" s="34"/>
      <c r="Q573" s="2">
        <f t="shared" si="1626"/>
        <v>5</v>
      </c>
      <c r="R573" s="2">
        <f t="shared" si="1622"/>
        <v>-5</v>
      </c>
      <c r="S573" s="2"/>
      <c r="T573" s="2"/>
      <c r="U573" s="9">
        <f t="shared" ref="U573" si="1641">0.098*J571*M571*0.5*R573</f>
        <v>0</v>
      </c>
      <c r="V573" s="9">
        <f t="shared" ref="V573" si="1642">0.098*J571*M571*Q573</f>
        <v>0</v>
      </c>
      <c r="W573" s="8">
        <f t="shared" ref="W573" si="1643">0.098*J571*M571*(S573-T573)</f>
        <v>0</v>
      </c>
      <c r="X573" s="84"/>
      <c r="Y573" s="82"/>
      <c r="Z573" s="101"/>
    </row>
    <row r="574" spans="1:26" x14ac:dyDescent="0.2">
      <c r="A574" s="19">
        <f t="shared" ref="A574:A630" si="1644">A560+1</f>
        <v>40</v>
      </c>
      <c r="B574" s="3" t="s">
        <v>5</v>
      </c>
      <c r="C574" s="3"/>
      <c r="D574" s="3"/>
      <c r="E574" s="3"/>
      <c r="F574" s="3">
        <f t="shared" ref="F574" si="1645">IF(B574="M", 50 + 0.91*(D574-152.4), IF(B574="F", 45.5 + 0.91*(D574-152.4), ""))</f>
        <v>-88.683999999999997</v>
      </c>
      <c r="G574" s="3"/>
      <c r="H574" s="3" t="e">
        <f t="shared" ref="H574" si="1646">E574/(D574*10^-2)^2</f>
        <v>#DIV/0!</v>
      </c>
      <c r="I574" s="116" t="s">
        <v>15</v>
      </c>
      <c r="J574" s="70" t="s">
        <v>31</v>
      </c>
      <c r="K574" s="70" t="s">
        <v>33</v>
      </c>
      <c r="L574" s="70" t="s">
        <v>17</v>
      </c>
      <c r="M574" s="70" t="s">
        <v>0</v>
      </c>
      <c r="N574" s="114"/>
      <c r="O574" s="4" t="s">
        <v>6</v>
      </c>
      <c r="P574" s="4" t="s">
        <v>34</v>
      </c>
      <c r="Q574" s="6" t="s">
        <v>2</v>
      </c>
      <c r="R574" s="17" t="s">
        <v>1</v>
      </c>
      <c r="S574" s="17" t="s">
        <v>25</v>
      </c>
      <c r="T574" s="17" t="s">
        <v>26</v>
      </c>
      <c r="U574" s="7" t="s">
        <v>21</v>
      </c>
      <c r="V574" s="7" t="s">
        <v>22</v>
      </c>
      <c r="W574" s="7" t="s">
        <v>24</v>
      </c>
      <c r="X574" s="84"/>
      <c r="Y574" s="82"/>
      <c r="Z574" s="125" t="s">
        <v>39</v>
      </c>
    </row>
    <row r="575" spans="1:26" x14ac:dyDescent="0.2">
      <c r="A575" s="98"/>
      <c r="B575" s="99"/>
      <c r="C575" s="99"/>
      <c r="D575" s="99"/>
      <c r="E575" s="99"/>
      <c r="F575" s="99"/>
      <c r="G575" s="99"/>
      <c r="H575" s="100"/>
      <c r="I575" s="75"/>
      <c r="J575" s="68"/>
      <c r="K575" s="68"/>
      <c r="L575" s="68"/>
      <c r="M575" s="68"/>
      <c r="N575" s="114"/>
      <c r="O575" s="34"/>
      <c r="P575" s="34"/>
      <c r="Q575" s="2">
        <v>15</v>
      </c>
      <c r="R575" s="2">
        <f t="shared" ref="R575:R580" si="1647">T575-Q575</f>
        <v>-15</v>
      </c>
      <c r="S575" s="2"/>
      <c r="T575" s="2"/>
      <c r="U575" s="2">
        <f t="shared" ref="U575" si="1648">0.098*J578*M578*0.5*R575</f>
        <v>0</v>
      </c>
      <c r="V575" s="10">
        <f t="shared" ref="V575" si="1649">0.098*J578*M578*Q575</f>
        <v>0</v>
      </c>
      <c r="W575" s="2">
        <f t="shared" ref="W575" si="1650">0.098*J578*M578*(S575-T575)</f>
        <v>0</v>
      </c>
      <c r="X575" s="84"/>
      <c r="Y575" s="82"/>
      <c r="Z575" s="125"/>
    </row>
    <row r="576" spans="1:26" x14ac:dyDescent="0.2">
      <c r="A576" s="101"/>
      <c r="B576" s="102"/>
      <c r="C576" s="102"/>
      <c r="D576" s="102"/>
      <c r="E576" s="102"/>
      <c r="F576" s="102"/>
      <c r="G576" s="102"/>
      <c r="H576" s="103"/>
      <c r="I576" s="75"/>
      <c r="J576" s="68"/>
      <c r="K576" s="68"/>
      <c r="L576" s="68"/>
      <c r="M576" s="68"/>
      <c r="N576" s="114"/>
      <c r="O576" s="34"/>
      <c r="P576" s="34"/>
      <c r="Q576" s="2">
        <f t="shared" ref="Q576:Q580" si="1651">Q575-2</f>
        <v>13</v>
      </c>
      <c r="R576" s="2">
        <f t="shared" si="1647"/>
        <v>-13</v>
      </c>
      <c r="S576" s="2"/>
      <c r="T576" s="2"/>
      <c r="U576" s="2">
        <f t="shared" ref="U576" si="1652">0.098*J578*M578*0.5*R576</f>
        <v>0</v>
      </c>
      <c r="V576" s="10">
        <f t="shared" ref="V576" si="1653">0.098*J578*M578*Q576</f>
        <v>0</v>
      </c>
      <c r="W576" s="2">
        <f t="shared" ref="W576" si="1654">0.098*J578*M578*(S576-T576)</f>
        <v>0</v>
      </c>
      <c r="X576" s="84"/>
      <c r="Y576" s="82"/>
      <c r="Z576" s="125"/>
    </row>
    <row r="577" spans="1:26" x14ac:dyDescent="0.2">
      <c r="A577" s="101"/>
      <c r="B577" s="102"/>
      <c r="C577" s="102"/>
      <c r="D577" s="102"/>
      <c r="E577" s="102"/>
      <c r="F577" s="102"/>
      <c r="G577" s="102"/>
      <c r="H577" s="103"/>
      <c r="I577" s="75"/>
      <c r="J577" s="69"/>
      <c r="K577" s="69"/>
      <c r="L577" s="69"/>
      <c r="M577" s="69"/>
      <c r="N577" s="114"/>
      <c r="O577" s="34"/>
      <c r="P577" s="34"/>
      <c r="Q577" s="2">
        <f t="shared" si="1651"/>
        <v>11</v>
      </c>
      <c r="R577" s="2">
        <f t="shared" si="1647"/>
        <v>-11</v>
      </c>
      <c r="S577" s="2"/>
      <c r="T577" s="2"/>
      <c r="U577" s="2">
        <f t="shared" ref="U577" si="1655">0.098*J578*M578*0.5*R577</f>
        <v>0</v>
      </c>
      <c r="V577" s="10">
        <f t="shared" ref="V577" si="1656">0.098*J578*M578*Q577</f>
        <v>0</v>
      </c>
      <c r="W577" s="2">
        <f t="shared" ref="W577" si="1657">0.098*J578*M578*(S577-T577)</f>
        <v>0</v>
      </c>
      <c r="X577" s="84"/>
      <c r="Y577" s="82"/>
      <c r="Z577" s="125"/>
    </row>
    <row r="578" spans="1:26" x14ac:dyDescent="0.2">
      <c r="A578" s="101"/>
      <c r="B578" s="102"/>
      <c r="C578" s="102"/>
      <c r="D578" s="102"/>
      <c r="E578" s="102"/>
      <c r="F578" s="102"/>
      <c r="G578" s="102"/>
      <c r="H578" s="103"/>
      <c r="I578" s="75"/>
      <c r="J578" s="86">
        <f t="shared" ref="J578" si="1658">(9*F574)/1000</f>
        <v>-0.79815599999999998</v>
      </c>
      <c r="K578" s="89"/>
      <c r="L578" s="92"/>
      <c r="M578" s="92"/>
      <c r="N578" s="114"/>
      <c r="O578" s="34"/>
      <c r="P578" s="34"/>
      <c r="Q578" s="2">
        <f t="shared" si="1651"/>
        <v>9</v>
      </c>
      <c r="R578" s="2">
        <f t="shared" si="1647"/>
        <v>-9</v>
      </c>
      <c r="S578" s="2"/>
      <c r="T578" s="2"/>
      <c r="U578" s="2">
        <f t="shared" ref="U578" si="1659">0.098*J578*M578*0.5*R578</f>
        <v>0</v>
      </c>
      <c r="V578" s="10">
        <f t="shared" ref="V578" si="1660">0.098*J578*M578*Q578</f>
        <v>0</v>
      </c>
      <c r="W578" s="2">
        <f t="shared" ref="W578" si="1661">0.098*J578*M578*(S578-T578)</f>
        <v>0</v>
      </c>
      <c r="X578" s="84"/>
      <c r="Y578" s="82"/>
      <c r="Z578" s="101">
        <f t="shared" ref="Z578" si="1662">_xlfn.STDEV.S(R575:R580)</f>
        <v>3.7416573867739413</v>
      </c>
    </row>
    <row r="579" spans="1:26" x14ac:dyDescent="0.2">
      <c r="A579" s="101"/>
      <c r="B579" s="102"/>
      <c r="C579" s="102"/>
      <c r="D579" s="102"/>
      <c r="E579" s="102"/>
      <c r="F579" s="102"/>
      <c r="G579" s="102"/>
      <c r="H579" s="103"/>
      <c r="I579" s="75"/>
      <c r="J579" s="87"/>
      <c r="K579" s="90"/>
      <c r="L579" s="93"/>
      <c r="M579" s="93"/>
      <c r="N579" s="114"/>
      <c r="O579" s="34"/>
      <c r="P579" s="34"/>
      <c r="Q579" s="2">
        <f t="shared" si="1651"/>
        <v>7</v>
      </c>
      <c r="R579" s="2">
        <f t="shared" si="1647"/>
        <v>-7</v>
      </c>
      <c r="S579" s="2"/>
      <c r="T579" s="2"/>
      <c r="U579" s="2">
        <f t="shared" ref="U579" si="1663">0.098*J578*M578*0.5*R579</f>
        <v>0</v>
      </c>
      <c r="V579" s="10">
        <f t="shared" ref="V579" si="1664">0.098*J578*M578*Q579</f>
        <v>0</v>
      </c>
      <c r="W579" s="2">
        <f t="shared" ref="W579" si="1665">0.098*J578*M578*(S579-T579)</f>
        <v>0</v>
      </c>
      <c r="X579" s="84"/>
      <c r="Y579" s="82"/>
      <c r="Z579" s="101"/>
    </row>
    <row r="580" spans="1:26" ht="17" thickBot="1" x14ac:dyDescent="0.25">
      <c r="A580" s="104"/>
      <c r="B580" s="105"/>
      <c r="C580" s="105"/>
      <c r="D580" s="105"/>
      <c r="E580" s="105"/>
      <c r="F580" s="105"/>
      <c r="G580" s="105"/>
      <c r="H580" s="106"/>
      <c r="I580" s="117"/>
      <c r="J580" s="88"/>
      <c r="K580" s="91"/>
      <c r="L580" s="94"/>
      <c r="M580" s="94"/>
      <c r="N580" s="115"/>
      <c r="O580" s="35"/>
      <c r="P580" s="35"/>
      <c r="Q580" s="20">
        <f t="shared" si="1651"/>
        <v>5</v>
      </c>
      <c r="R580" s="2">
        <f t="shared" si="1647"/>
        <v>-5</v>
      </c>
      <c r="S580" s="20"/>
      <c r="T580" s="20"/>
      <c r="U580" s="20">
        <f t="shared" ref="U580" si="1666">0.098*J578*M578*0.5*R580</f>
        <v>0</v>
      </c>
      <c r="V580" s="21">
        <f t="shared" ref="V580" si="1667">0.098*J578*M578*Q580</f>
        <v>0</v>
      </c>
      <c r="W580" s="20">
        <f t="shared" ref="W580" si="1668">0.098*J578*M578*(S580-T580)</f>
        <v>0</v>
      </c>
      <c r="X580" s="85"/>
      <c r="Y580" s="83"/>
      <c r="Z580" s="101"/>
    </row>
    <row r="581" spans="1:26" x14ac:dyDescent="0.2">
      <c r="A581" s="107" t="s">
        <v>8</v>
      </c>
      <c r="B581" s="110" t="s">
        <v>3</v>
      </c>
      <c r="C581" s="110" t="s">
        <v>7</v>
      </c>
      <c r="D581" s="110" t="s">
        <v>9</v>
      </c>
      <c r="E581" s="71" t="s">
        <v>11</v>
      </c>
      <c r="F581" s="71" t="s">
        <v>10</v>
      </c>
      <c r="G581" s="71" t="s">
        <v>12</v>
      </c>
      <c r="H581" s="71" t="s">
        <v>32</v>
      </c>
      <c r="I581" s="74" t="s">
        <v>14</v>
      </c>
      <c r="J581" s="67" t="s">
        <v>31</v>
      </c>
      <c r="K581" s="67" t="s">
        <v>33</v>
      </c>
      <c r="L581" s="67" t="s">
        <v>17</v>
      </c>
      <c r="M581" s="67" t="s">
        <v>0</v>
      </c>
      <c r="N581" s="113" t="s">
        <v>16</v>
      </c>
      <c r="O581" s="4" t="s">
        <v>6</v>
      </c>
      <c r="P581" s="4" t="s">
        <v>34</v>
      </c>
      <c r="Q581" s="17" t="s">
        <v>2</v>
      </c>
      <c r="R581" s="17" t="s">
        <v>1</v>
      </c>
      <c r="S581" s="17" t="s">
        <v>25</v>
      </c>
      <c r="T581" s="17" t="s">
        <v>26</v>
      </c>
      <c r="U581" s="18" t="s">
        <v>20</v>
      </c>
      <c r="V581" s="18" t="s">
        <v>22</v>
      </c>
      <c r="W581" s="18" t="s">
        <v>24</v>
      </c>
      <c r="X581" s="77" t="s">
        <v>19</v>
      </c>
      <c r="Y581" s="79" t="s">
        <v>23</v>
      </c>
      <c r="Z581" s="125" t="s">
        <v>39</v>
      </c>
    </row>
    <row r="582" spans="1:26" x14ac:dyDescent="0.2">
      <c r="A582" s="108"/>
      <c r="B582" s="111"/>
      <c r="C582" s="111"/>
      <c r="D582" s="111"/>
      <c r="E582" s="72"/>
      <c r="F582" s="72"/>
      <c r="G582" s="72"/>
      <c r="H582" s="72"/>
      <c r="I582" s="75"/>
      <c r="J582" s="68"/>
      <c r="K582" s="68"/>
      <c r="L582" s="68"/>
      <c r="M582" s="68"/>
      <c r="N582" s="114"/>
      <c r="O582" s="34"/>
      <c r="P582" s="34"/>
      <c r="Q582" s="2">
        <v>15</v>
      </c>
      <c r="R582" s="2">
        <f t="shared" ref="R582:R587" si="1669">T582-Q582</f>
        <v>-15</v>
      </c>
      <c r="S582" s="2"/>
      <c r="T582" s="2"/>
      <c r="U582" s="9">
        <f t="shared" ref="U582" si="1670">0.098*J585*M585*0.5*R582</f>
        <v>0</v>
      </c>
      <c r="V582" s="9">
        <f t="shared" ref="V582" si="1671">0.098*J585*M585*Q582</f>
        <v>0</v>
      </c>
      <c r="W582" s="8">
        <f t="shared" ref="W582" si="1672">0.098*J585*M585*(S582-T582)</f>
        <v>0</v>
      </c>
      <c r="X582" s="78"/>
      <c r="Y582" s="80"/>
      <c r="Z582" s="125"/>
    </row>
    <row r="583" spans="1:26" x14ac:dyDescent="0.2">
      <c r="A583" s="108"/>
      <c r="B583" s="111"/>
      <c r="C583" s="111"/>
      <c r="D583" s="111"/>
      <c r="E583" s="72"/>
      <c r="F583" s="72"/>
      <c r="G583" s="72"/>
      <c r="H583" s="72"/>
      <c r="I583" s="75"/>
      <c r="J583" s="68"/>
      <c r="K583" s="68"/>
      <c r="L583" s="68"/>
      <c r="M583" s="68"/>
      <c r="N583" s="114"/>
      <c r="O583" s="34"/>
      <c r="P583" s="34"/>
      <c r="Q583" s="2">
        <f t="shared" ref="Q583:Q587" si="1673">Q582-2</f>
        <v>13</v>
      </c>
      <c r="R583" s="2">
        <f t="shared" si="1669"/>
        <v>-13</v>
      </c>
      <c r="S583" s="2"/>
      <c r="T583" s="2"/>
      <c r="U583" s="9">
        <f t="shared" ref="U583" si="1674">0.098*J585*M585*0.5*R583</f>
        <v>0</v>
      </c>
      <c r="V583" s="9">
        <f t="shared" ref="V583" si="1675">0.098*J585*M585*Q583</f>
        <v>0</v>
      </c>
      <c r="W583" s="8">
        <f t="shared" ref="W583" si="1676">0.098*J585*M585*(S583-T583)</f>
        <v>0</v>
      </c>
      <c r="X583" s="23"/>
      <c r="Y583" s="81"/>
      <c r="Z583" s="125"/>
    </row>
    <row r="584" spans="1:26" x14ac:dyDescent="0.2">
      <c r="A584" s="108"/>
      <c r="B584" s="111"/>
      <c r="C584" s="111"/>
      <c r="D584" s="111"/>
      <c r="E584" s="72"/>
      <c r="F584" s="72"/>
      <c r="G584" s="72"/>
      <c r="H584" s="72"/>
      <c r="I584" s="75"/>
      <c r="J584" s="69"/>
      <c r="K584" s="69"/>
      <c r="L584" s="69"/>
      <c r="M584" s="69"/>
      <c r="N584" s="114"/>
      <c r="O584" s="34"/>
      <c r="P584" s="34"/>
      <c r="Q584" s="2">
        <f t="shared" si="1673"/>
        <v>11</v>
      </c>
      <c r="R584" s="2">
        <f t="shared" si="1669"/>
        <v>-11</v>
      </c>
      <c r="S584" s="2"/>
      <c r="T584" s="2"/>
      <c r="U584" s="9">
        <f t="shared" ref="U584" si="1677">0.098*J585*M585*0.5*R584</f>
        <v>0</v>
      </c>
      <c r="V584" s="9">
        <f t="shared" ref="V584" si="1678">0.098*J585*M585*Q584</f>
        <v>0</v>
      </c>
      <c r="W584" s="8">
        <f t="shared" ref="W584" si="1679">0.098*J585*M585*(S584-T584)</f>
        <v>0</v>
      </c>
      <c r="X584" s="84"/>
      <c r="Y584" s="82"/>
      <c r="Z584" s="125"/>
    </row>
    <row r="585" spans="1:26" x14ac:dyDescent="0.2">
      <c r="A585" s="108"/>
      <c r="B585" s="111"/>
      <c r="C585" s="111"/>
      <c r="D585" s="111"/>
      <c r="E585" s="72"/>
      <c r="F585" s="72"/>
      <c r="G585" s="72"/>
      <c r="H585" s="72"/>
      <c r="I585" s="75"/>
      <c r="J585" s="86">
        <f t="shared" ref="J585" si="1680">(7*F588)/1000</f>
        <v>-0.62078800000000001</v>
      </c>
      <c r="K585" s="89"/>
      <c r="L585" s="92"/>
      <c r="M585" s="92"/>
      <c r="N585" s="114"/>
      <c r="O585" s="34"/>
      <c r="P585" s="34"/>
      <c r="Q585" s="2">
        <f t="shared" si="1673"/>
        <v>9</v>
      </c>
      <c r="R585" s="2">
        <f t="shared" si="1669"/>
        <v>-9</v>
      </c>
      <c r="S585" s="2"/>
      <c r="T585" s="2"/>
      <c r="U585" s="9">
        <f t="shared" ref="U585" si="1681">0.098*J585*M585*0.5*R585</f>
        <v>0</v>
      </c>
      <c r="V585" s="9">
        <f t="shared" ref="V585" si="1682">0.098*J585*M585*Q585</f>
        <v>0</v>
      </c>
      <c r="W585" s="8">
        <f t="shared" ref="W585" si="1683">0.098*J585*M585*(S585-T585)</f>
        <v>0</v>
      </c>
      <c r="X585" s="84"/>
      <c r="Y585" s="82"/>
      <c r="Z585" s="101">
        <f t="shared" ref="Z585" si="1684">_xlfn.STDEV.S(R582:R587)</f>
        <v>3.7416573867739413</v>
      </c>
    </row>
    <row r="586" spans="1:26" x14ac:dyDescent="0.2">
      <c r="A586" s="108"/>
      <c r="B586" s="111"/>
      <c r="C586" s="111"/>
      <c r="D586" s="111"/>
      <c r="E586" s="72"/>
      <c r="F586" s="72"/>
      <c r="G586" s="72"/>
      <c r="H586" s="72"/>
      <c r="I586" s="75"/>
      <c r="J586" s="87"/>
      <c r="K586" s="90"/>
      <c r="L586" s="93"/>
      <c r="M586" s="93"/>
      <c r="N586" s="114"/>
      <c r="O586" s="34"/>
      <c r="P586" s="34"/>
      <c r="Q586" s="2">
        <f t="shared" si="1673"/>
        <v>7</v>
      </c>
      <c r="R586" s="2">
        <f t="shared" si="1669"/>
        <v>-7</v>
      </c>
      <c r="S586" s="2"/>
      <c r="T586" s="2"/>
      <c r="U586" s="9">
        <f t="shared" ref="U586" si="1685">0.098*J585*M585*0.5*R586</f>
        <v>0</v>
      </c>
      <c r="V586" s="9">
        <f t="shared" ref="V586" si="1686">0.098*J585*M585*Q586</f>
        <v>0</v>
      </c>
      <c r="W586" s="8">
        <f t="shared" ref="W586" si="1687">0.098*J585*M585*(S586-T586)</f>
        <v>0</v>
      </c>
      <c r="X586" s="84"/>
      <c r="Y586" s="82"/>
      <c r="Z586" s="101"/>
    </row>
    <row r="587" spans="1:26" ht="17" thickBot="1" x14ac:dyDescent="0.25">
      <c r="A587" s="109"/>
      <c r="B587" s="112"/>
      <c r="C587" s="112"/>
      <c r="D587" s="112"/>
      <c r="E587" s="73"/>
      <c r="F587" s="73"/>
      <c r="G587" s="73"/>
      <c r="H587" s="73"/>
      <c r="I587" s="76"/>
      <c r="J587" s="97"/>
      <c r="K587" s="96"/>
      <c r="L587" s="95"/>
      <c r="M587" s="95"/>
      <c r="N587" s="114"/>
      <c r="O587" s="34"/>
      <c r="P587" s="34"/>
      <c r="Q587" s="2">
        <f t="shared" si="1673"/>
        <v>5</v>
      </c>
      <c r="R587" s="2">
        <f t="shared" si="1669"/>
        <v>-5</v>
      </c>
      <c r="S587" s="2"/>
      <c r="T587" s="2"/>
      <c r="U587" s="9">
        <f t="shared" ref="U587" si="1688">0.098*J585*M585*0.5*R587</f>
        <v>0</v>
      </c>
      <c r="V587" s="9">
        <f t="shared" ref="V587" si="1689">0.098*J585*M585*Q587</f>
        <v>0</v>
      </c>
      <c r="W587" s="8">
        <f t="shared" ref="W587" si="1690">0.098*J585*M585*(S587-T587)</f>
        <v>0</v>
      </c>
      <c r="X587" s="84"/>
      <c r="Y587" s="82"/>
      <c r="Z587" s="101"/>
    </row>
    <row r="588" spans="1:26" x14ac:dyDescent="0.2">
      <c r="A588" s="19">
        <f t="shared" si="1644"/>
        <v>41</v>
      </c>
      <c r="B588" s="3" t="s">
        <v>5</v>
      </c>
      <c r="C588" s="3"/>
      <c r="D588" s="3"/>
      <c r="E588" s="3"/>
      <c r="F588" s="3">
        <f t="shared" ref="F588" si="1691">IF(B588="M", 50 + 0.91*(D588-152.4), IF(B588="F", 45.5 + 0.91*(D588-152.4), ""))</f>
        <v>-88.683999999999997</v>
      </c>
      <c r="G588" s="3"/>
      <c r="H588" s="3" t="e">
        <f t="shared" ref="H588" si="1692">E588/(D588*10^-2)^2</f>
        <v>#DIV/0!</v>
      </c>
      <c r="I588" s="116" t="s">
        <v>15</v>
      </c>
      <c r="J588" s="70" t="s">
        <v>31</v>
      </c>
      <c r="K588" s="70" t="s">
        <v>33</v>
      </c>
      <c r="L588" s="70" t="s">
        <v>17</v>
      </c>
      <c r="M588" s="70" t="s">
        <v>0</v>
      </c>
      <c r="N588" s="114"/>
      <c r="O588" s="4" t="s">
        <v>6</v>
      </c>
      <c r="P588" s="4" t="s">
        <v>34</v>
      </c>
      <c r="Q588" s="6" t="s">
        <v>2</v>
      </c>
      <c r="R588" s="17" t="s">
        <v>1</v>
      </c>
      <c r="S588" s="17" t="s">
        <v>25</v>
      </c>
      <c r="T588" s="17" t="s">
        <v>26</v>
      </c>
      <c r="U588" s="7" t="s">
        <v>21</v>
      </c>
      <c r="V588" s="7" t="s">
        <v>22</v>
      </c>
      <c r="W588" s="7" t="s">
        <v>24</v>
      </c>
      <c r="X588" s="84"/>
      <c r="Y588" s="82"/>
      <c r="Z588" s="125" t="s">
        <v>39</v>
      </c>
    </row>
    <row r="589" spans="1:26" x14ac:dyDescent="0.2">
      <c r="A589" s="98"/>
      <c r="B589" s="99"/>
      <c r="C589" s="99"/>
      <c r="D589" s="99"/>
      <c r="E589" s="99"/>
      <c r="F589" s="99"/>
      <c r="G589" s="99"/>
      <c r="H589" s="100"/>
      <c r="I589" s="75"/>
      <c r="J589" s="68"/>
      <c r="K589" s="68"/>
      <c r="L589" s="68"/>
      <c r="M589" s="68"/>
      <c r="N589" s="114"/>
      <c r="O589" s="34"/>
      <c r="P589" s="34"/>
      <c r="Q589" s="2">
        <v>15</v>
      </c>
      <c r="R589" s="2">
        <f t="shared" ref="R589:R594" si="1693">T589-Q589</f>
        <v>-15</v>
      </c>
      <c r="S589" s="2"/>
      <c r="T589" s="2"/>
      <c r="U589" s="2">
        <f t="shared" ref="U589" si="1694">0.098*J592*M592*0.5*R589</f>
        <v>0</v>
      </c>
      <c r="V589" s="10">
        <f t="shared" ref="V589" si="1695">0.098*J592*M592*Q589</f>
        <v>0</v>
      </c>
      <c r="W589" s="2">
        <f t="shared" ref="W589" si="1696">0.098*J592*M592*(S589-T589)</f>
        <v>0</v>
      </c>
      <c r="X589" s="84"/>
      <c r="Y589" s="82"/>
      <c r="Z589" s="125"/>
    </row>
    <row r="590" spans="1:26" x14ac:dyDescent="0.2">
      <c r="A590" s="101"/>
      <c r="B590" s="102"/>
      <c r="C590" s="102"/>
      <c r="D590" s="102"/>
      <c r="E590" s="102"/>
      <c r="F590" s="102"/>
      <c r="G590" s="102"/>
      <c r="H590" s="103"/>
      <c r="I590" s="75"/>
      <c r="J590" s="68"/>
      <c r="K590" s="68"/>
      <c r="L590" s="68"/>
      <c r="M590" s="68"/>
      <c r="N590" s="114"/>
      <c r="O590" s="34"/>
      <c r="P590" s="34"/>
      <c r="Q590" s="2">
        <f t="shared" ref="Q590:Q594" si="1697">Q589-2</f>
        <v>13</v>
      </c>
      <c r="R590" s="2">
        <f t="shared" si="1693"/>
        <v>-13</v>
      </c>
      <c r="S590" s="2"/>
      <c r="T590" s="2"/>
      <c r="U590" s="2">
        <f t="shared" ref="U590" si="1698">0.098*J592*M592*0.5*R590</f>
        <v>0</v>
      </c>
      <c r="V590" s="10">
        <f t="shared" ref="V590" si="1699">0.098*J592*M592*Q590</f>
        <v>0</v>
      </c>
      <c r="W590" s="2">
        <f t="shared" ref="W590" si="1700">0.098*J592*M592*(S590-T590)</f>
        <v>0</v>
      </c>
      <c r="X590" s="84"/>
      <c r="Y590" s="82"/>
      <c r="Z590" s="125"/>
    </row>
    <row r="591" spans="1:26" x14ac:dyDescent="0.2">
      <c r="A591" s="101"/>
      <c r="B591" s="102"/>
      <c r="C591" s="102"/>
      <c r="D591" s="102"/>
      <c r="E591" s="102"/>
      <c r="F591" s="102"/>
      <c r="G591" s="102"/>
      <c r="H591" s="103"/>
      <c r="I591" s="75"/>
      <c r="J591" s="69"/>
      <c r="K591" s="69"/>
      <c r="L591" s="69"/>
      <c r="M591" s="69"/>
      <c r="N591" s="114"/>
      <c r="O591" s="34"/>
      <c r="P591" s="34"/>
      <c r="Q591" s="2">
        <f t="shared" si="1697"/>
        <v>11</v>
      </c>
      <c r="R591" s="2">
        <f t="shared" si="1693"/>
        <v>-11</v>
      </c>
      <c r="S591" s="2"/>
      <c r="T591" s="2"/>
      <c r="U591" s="2">
        <f t="shared" ref="U591" si="1701">0.098*J592*M592*0.5*R591</f>
        <v>0</v>
      </c>
      <c r="V591" s="10">
        <f t="shared" ref="V591" si="1702">0.098*J592*M592*Q591</f>
        <v>0</v>
      </c>
      <c r="W591" s="2">
        <f t="shared" ref="W591" si="1703">0.098*J592*M592*(S591-T591)</f>
        <v>0</v>
      </c>
      <c r="X591" s="84"/>
      <c r="Y591" s="82"/>
      <c r="Z591" s="125"/>
    </row>
    <row r="592" spans="1:26" x14ac:dyDescent="0.2">
      <c r="A592" s="101"/>
      <c r="B592" s="102"/>
      <c r="C592" s="102"/>
      <c r="D592" s="102"/>
      <c r="E592" s="102"/>
      <c r="F592" s="102"/>
      <c r="G592" s="102"/>
      <c r="H592" s="103"/>
      <c r="I592" s="75"/>
      <c r="J592" s="86">
        <f t="shared" ref="J592" si="1704">(9*F588)/1000</f>
        <v>-0.79815599999999998</v>
      </c>
      <c r="K592" s="89"/>
      <c r="L592" s="92"/>
      <c r="M592" s="92"/>
      <c r="N592" s="114"/>
      <c r="O592" s="34"/>
      <c r="P592" s="34"/>
      <c r="Q592" s="2">
        <f t="shared" si="1697"/>
        <v>9</v>
      </c>
      <c r="R592" s="2">
        <f t="shared" si="1693"/>
        <v>-9</v>
      </c>
      <c r="S592" s="2"/>
      <c r="T592" s="2"/>
      <c r="U592" s="2">
        <f t="shared" ref="U592" si="1705">0.098*J592*M592*0.5*R592</f>
        <v>0</v>
      </c>
      <c r="V592" s="10">
        <f t="shared" ref="V592" si="1706">0.098*J592*M592*Q592</f>
        <v>0</v>
      </c>
      <c r="W592" s="2">
        <f t="shared" ref="W592" si="1707">0.098*J592*M592*(S592-T592)</f>
        <v>0</v>
      </c>
      <c r="X592" s="84"/>
      <c r="Y592" s="82"/>
      <c r="Z592" s="101">
        <f t="shared" ref="Z592" si="1708">_xlfn.STDEV.S(R589:R594)</f>
        <v>3.7416573867739413</v>
      </c>
    </row>
    <row r="593" spans="1:26" x14ac:dyDescent="0.2">
      <c r="A593" s="101"/>
      <c r="B593" s="102"/>
      <c r="C593" s="102"/>
      <c r="D593" s="102"/>
      <c r="E593" s="102"/>
      <c r="F593" s="102"/>
      <c r="G593" s="102"/>
      <c r="H593" s="103"/>
      <c r="I593" s="75"/>
      <c r="J593" s="87"/>
      <c r="K593" s="90"/>
      <c r="L593" s="93"/>
      <c r="M593" s="93"/>
      <c r="N593" s="114"/>
      <c r="O593" s="34"/>
      <c r="P593" s="34"/>
      <c r="Q593" s="2">
        <f t="shared" si="1697"/>
        <v>7</v>
      </c>
      <c r="R593" s="2">
        <f t="shared" si="1693"/>
        <v>-7</v>
      </c>
      <c r="S593" s="2"/>
      <c r="T593" s="2"/>
      <c r="U593" s="2">
        <f t="shared" ref="U593" si="1709">0.098*J592*M592*0.5*R593</f>
        <v>0</v>
      </c>
      <c r="V593" s="10">
        <f t="shared" ref="V593" si="1710">0.098*J592*M592*Q593</f>
        <v>0</v>
      </c>
      <c r="W593" s="2">
        <f t="shared" ref="W593" si="1711">0.098*J592*M592*(S593-T593)</f>
        <v>0</v>
      </c>
      <c r="X593" s="84"/>
      <c r="Y593" s="82"/>
      <c r="Z593" s="101"/>
    </row>
    <row r="594" spans="1:26" ht="17" thickBot="1" x14ac:dyDescent="0.25">
      <c r="A594" s="104"/>
      <c r="B594" s="105"/>
      <c r="C594" s="105"/>
      <c r="D594" s="105"/>
      <c r="E594" s="105"/>
      <c r="F594" s="105"/>
      <c r="G594" s="105"/>
      <c r="H594" s="106"/>
      <c r="I594" s="117"/>
      <c r="J594" s="88"/>
      <c r="K594" s="91"/>
      <c r="L594" s="94"/>
      <c r="M594" s="94"/>
      <c r="N594" s="115"/>
      <c r="O594" s="35"/>
      <c r="P594" s="35"/>
      <c r="Q594" s="20">
        <f t="shared" si="1697"/>
        <v>5</v>
      </c>
      <c r="R594" s="2">
        <f t="shared" si="1693"/>
        <v>-5</v>
      </c>
      <c r="S594" s="20"/>
      <c r="T594" s="20"/>
      <c r="U594" s="20">
        <f t="shared" ref="U594" si="1712">0.098*J592*M592*0.5*R594</f>
        <v>0</v>
      </c>
      <c r="V594" s="21">
        <f t="shared" ref="V594" si="1713">0.098*J592*M592*Q594</f>
        <v>0</v>
      </c>
      <c r="W594" s="20">
        <f t="shared" ref="W594" si="1714">0.098*J592*M592*(S594-T594)</f>
        <v>0</v>
      </c>
      <c r="X594" s="85"/>
      <c r="Y594" s="83"/>
      <c r="Z594" s="101"/>
    </row>
    <row r="595" spans="1:26" x14ac:dyDescent="0.2">
      <c r="A595" s="107" t="s">
        <v>8</v>
      </c>
      <c r="B595" s="110" t="s">
        <v>3</v>
      </c>
      <c r="C595" s="110" t="s">
        <v>7</v>
      </c>
      <c r="D595" s="110" t="s">
        <v>9</v>
      </c>
      <c r="E595" s="71" t="s">
        <v>11</v>
      </c>
      <c r="F595" s="71" t="s">
        <v>10</v>
      </c>
      <c r="G595" s="71" t="s">
        <v>12</v>
      </c>
      <c r="H595" s="71" t="s">
        <v>32</v>
      </c>
      <c r="I595" s="74" t="s">
        <v>14</v>
      </c>
      <c r="J595" s="67" t="s">
        <v>31</v>
      </c>
      <c r="K595" s="67" t="s">
        <v>33</v>
      </c>
      <c r="L595" s="67" t="s">
        <v>17</v>
      </c>
      <c r="M595" s="67" t="s">
        <v>0</v>
      </c>
      <c r="N595" s="113" t="s">
        <v>16</v>
      </c>
      <c r="O595" s="4" t="s">
        <v>6</v>
      </c>
      <c r="P595" s="4" t="s">
        <v>34</v>
      </c>
      <c r="Q595" s="17" t="s">
        <v>2</v>
      </c>
      <c r="R595" s="17" t="s">
        <v>1</v>
      </c>
      <c r="S595" s="17" t="s">
        <v>25</v>
      </c>
      <c r="T595" s="17" t="s">
        <v>26</v>
      </c>
      <c r="U595" s="18" t="s">
        <v>20</v>
      </c>
      <c r="V595" s="18" t="s">
        <v>22</v>
      </c>
      <c r="W595" s="18" t="s">
        <v>24</v>
      </c>
      <c r="X595" s="77" t="s">
        <v>19</v>
      </c>
      <c r="Y595" s="79" t="s">
        <v>23</v>
      </c>
      <c r="Z595" s="125" t="s">
        <v>39</v>
      </c>
    </row>
    <row r="596" spans="1:26" x14ac:dyDescent="0.2">
      <c r="A596" s="108"/>
      <c r="B596" s="111"/>
      <c r="C596" s="111"/>
      <c r="D596" s="111"/>
      <c r="E596" s="72"/>
      <c r="F596" s="72"/>
      <c r="G596" s="72"/>
      <c r="H596" s="72"/>
      <c r="I596" s="75"/>
      <c r="J596" s="68"/>
      <c r="K596" s="68"/>
      <c r="L596" s="68"/>
      <c r="M596" s="68"/>
      <c r="N596" s="114"/>
      <c r="O596" s="34"/>
      <c r="P596" s="34"/>
      <c r="Q596" s="2">
        <v>15</v>
      </c>
      <c r="R596" s="2">
        <f t="shared" ref="R596:R601" si="1715">T596-Q596</f>
        <v>-15</v>
      </c>
      <c r="S596" s="2"/>
      <c r="T596" s="2"/>
      <c r="U596" s="9">
        <f t="shared" ref="U596" si="1716">0.098*J599*M599*0.5*R596</f>
        <v>0</v>
      </c>
      <c r="V596" s="9">
        <f t="shared" ref="V596" si="1717">0.098*J599*M599*Q596</f>
        <v>0</v>
      </c>
      <c r="W596" s="8">
        <f t="shared" ref="W596" si="1718">0.098*J599*M599*(S596-T596)</f>
        <v>0</v>
      </c>
      <c r="X596" s="78"/>
      <c r="Y596" s="80"/>
      <c r="Z596" s="125"/>
    </row>
    <row r="597" spans="1:26" x14ac:dyDescent="0.2">
      <c r="A597" s="108"/>
      <c r="B597" s="111"/>
      <c r="C597" s="111"/>
      <c r="D597" s="111"/>
      <c r="E597" s="72"/>
      <c r="F597" s="72"/>
      <c r="G597" s="72"/>
      <c r="H597" s="72"/>
      <c r="I597" s="75"/>
      <c r="J597" s="68"/>
      <c r="K597" s="68"/>
      <c r="L597" s="68"/>
      <c r="M597" s="68"/>
      <c r="N597" s="114"/>
      <c r="O597" s="34"/>
      <c r="P597" s="34"/>
      <c r="Q597" s="2">
        <f t="shared" ref="Q597:Q601" si="1719">Q596-2</f>
        <v>13</v>
      </c>
      <c r="R597" s="2">
        <f t="shared" si="1715"/>
        <v>-13</v>
      </c>
      <c r="S597" s="2"/>
      <c r="T597" s="2"/>
      <c r="U597" s="9">
        <f t="shared" ref="U597" si="1720">0.098*J599*M599*0.5*R597</f>
        <v>0</v>
      </c>
      <c r="V597" s="9">
        <f t="shared" ref="V597" si="1721">0.098*J599*M599*Q597</f>
        <v>0</v>
      </c>
      <c r="W597" s="8">
        <f t="shared" ref="W597" si="1722">0.098*J599*M599*(S597-T597)</f>
        <v>0</v>
      </c>
      <c r="X597" s="23"/>
      <c r="Y597" s="81"/>
      <c r="Z597" s="125"/>
    </row>
    <row r="598" spans="1:26" x14ac:dyDescent="0.2">
      <c r="A598" s="108"/>
      <c r="B598" s="111"/>
      <c r="C598" s="111"/>
      <c r="D598" s="111"/>
      <c r="E598" s="72"/>
      <c r="F598" s="72"/>
      <c r="G598" s="72"/>
      <c r="H598" s="72"/>
      <c r="I598" s="75"/>
      <c r="J598" s="69"/>
      <c r="K598" s="69"/>
      <c r="L598" s="69"/>
      <c r="M598" s="69"/>
      <c r="N598" s="114"/>
      <c r="O598" s="34"/>
      <c r="P598" s="34"/>
      <c r="Q598" s="2">
        <f t="shared" si="1719"/>
        <v>11</v>
      </c>
      <c r="R598" s="2">
        <f t="shared" si="1715"/>
        <v>-11</v>
      </c>
      <c r="S598" s="2"/>
      <c r="T598" s="2"/>
      <c r="U598" s="9">
        <f t="shared" ref="U598" si="1723">0.098*J599*M599*0.5*R598</f>
        <v>0</v>
      </c>
      <c r="V598" s="9">
        <f t="shared" ref="V598" si="1724">0.098*J599*M599*Q598</f>
        <v>0</v>
      </c>
      <c r="W598" s="8">
        <f t="shared" ref="W598" si="1725">0.098*J599*M599*(S598-T598)</f>
        <v>0</v>
      </c>
      <c r="X598" s="84"/>
      <c r="Y598" s="82"/>
      <c r="Z598" s="125"/>
    </row>
    <row r="599" spans="1:26" x14ac:dyDescent="0.2">
      <c r="A599" s="108"/>
      <c r="B599" s="111"/>
      <c r="C599" s="111"/>
      <c r="D599" s="111"/>
      <c r="E599" s="72"/>
      <c r="F599" s="72"/>
      <c r="G599" s="72"/>
      <c r="H599" s="72"/>
      <c r="I599" s="75"/>
      <c r="J599" s="86">
        <f t="shared" ref="J599" si="1726">(7*F602)/1000</f>
        <v>-0.62078800000000001</v>
      </c>
      <c r="K599" s="89"/>
      <c r="L599" s="92"/>
      <c r="M599" s="92"/>
      <c r="N599" s="114"/>
      <c r="O599" s="34"/>
      <c r="P599" s="34"/>
      <c r="Q599" s="2">
        <f t="shared" si="1719"/>
        <v>9</v>
      </c>
      <c r="R599" s="2">
        <f t="shared" si="1715"/>
        <v>-9</v>
      </c>
      <c r="S599" s="2"/>
      <c r="T599" s="2"/>
      <c r="U599" s="9">
        <f t="shared" ref="U599" si="1727">0.098*J599*M599*0.5*R599</f>
        <v>0</v>
      </c>
      <c r="V599" s="9">
        <f t="shared" ref="V599" si="1728">0.098*J599*M599*Q599</f>
        <v>0</v>
      </c>
      <c r="W599" s="8">
        <f t="shared" ref="W599" si="1729">0.098*J599*M599*(S599-T599)</f>
        <v>0</v>
      </c>
      <c r="X599" s="84"/>
      <c r="Y599" s="82"/>
      <c r="Z599" s="101">
        <f t="shared" ref="Z599" si="1730">_xlfn.STDEV.S(R596:R601)</f>
        <v>3.7416573867739413</v>
      </c>
    </row>
    <row r="600" spans="1:26" x14ac:dyDescent="0.2">
      <c r="A600" s="108"/>
      <c r="B600" s="111"/>
      <c r="C600" s="111"/>
      <c r="D600" s="111"/>
      <c r="E600" s="72"/>
      <c r="F600" s="72"/>
      <c r="G600" s="72"/>
      <c r="H600" s="72"/>
      <c r="I600" s="75"/>
      <c r="J600" s="87"/>
      <c r="K600" s="90"/>
      <c r="L600" s="93"/>
      <c r="M600" s="93"/>
      <c r="N600" s="114"/>
      <c r="O600" s="34"/>
      <c r="P600" s="34"/>
      <c r="Q600" s="2">
        <f t="shared" si="1719"/>
        <v>7</v>
      </c>
      <c r="R600" s="2">
        <f t="shared" si="1715"/>
        <v>-7</v>
      </c>
      <c r="S600" s="2"/>
      <c r="T600" s="2"/>
      <c r="U600" s="9">
        <f t="shared" ref="U600" si="1731">0.098*J599*M599*0.5*R600</f>
        <v>0</v>
      </c>
      <c r="V600" s="9">
        <f t="shared" ref="V600" si="1732">0.098*J599*M599*Q600</f>
        <v>0</v>
      </c>
      <c r="W600" s="8">
        <f t="shared" ref="W600" si="1733">0.098*J599*M599*(S600-T600)</f>
        <v>0</v>
      </c>
      <c r="X600" s="84"/>
      <c r="Y600" s="82"/>
      <c r="Z600" s="101"/>
    </row>
    <row r="601" spans="1:26" ht="17" thickBot="1" x14ac:dyDescent="0.25">
      <c r="A601" s="109"/>
      <c r="B601" s="112"/>
      <c r="C601" s="112"/>
      <c r="D601" s="112"/>
      <c r="E601" s="73"/>
      <c r="F601" s="73"/>
      <c r="G601" s="73"/>
      <c r="H601" s="73"/>
      <c r="I601" s="76"/>
      <c r="J601" s="97"/>
      <c r="K601" s="96"/>
      <c r="L601" s="95"/>
      <c r="M601" s="95"/>
      <c r="N601" s="114"/>
      <c r="O601" s="34"/>
      <c r="P601" s="34"/>
      <c r="Q601" s="2">
        <f t="shared" si="1719"/>
        <v>5</v>
      </c>
      <c r="R601" s="2">
        <f t="shared" si="1715"/>
        <v>-5</v>
      </c>
      <c r="S601" s="2"/>
      <c r="T601" s="2"/>
      <c r="U601" s="9">
        <f t="shared" ref="U601" si="1734">0.098*J599*M599*0.5*R601</f>
        <v>0</v>
      </c>
      <c r="V601" s="9">
        <f t="shared" ref="V601" si="1735">0.098*J599*M599*Q601</f>
        <v>0</v>
      </c>
      <c r="W601" s="8">
        <f t="shared" ref="W601" si="1736">0.098*J599*M599*(S601-T601)</f>
        <v>0</v>
      </c>
      <c r="X601" s="84"/>
      <c r="Y601" s="82"/>
      <c r="Z601" s="101"/>
    </row>
    <row r="602" spans="1:26" x14ac:dyDescent="0.2">
      <c r="A602" s="19">
        <f t="shared" si="1644"/>
        <v>42</v>
      </c>
      <c r="B602" s="3" t="s">
        <v>5</v>
      </c>
      <c r="C602" s="3"/>
      <c r="D602" s="3"/>
      <c r="E602" s="3"/>
      <c r="F602" s="3">
        <f t="shared" ref="F602" si="1737">IF(B602="M", 50 + 0.91*(D602-152.4), IF(B602="F", 45.5 + 0.91*(D602-152.4), ""))</f>
        <v>-88.683999999999997</v>
      </c>
      <c r="G602" s="3"/>
      <c r="H602" s="3" t="e">
        <f t="shared" ref="H602" si="1738">E602/(D602*10^-2)^2</f>
        <v>#DIV/0!</v>
      </c>
      <c r="I602" s="116" t="s">
        <v>15</v>
      </c>
      <c r="J602" s="70" t="s">
        <v>31</v>
      </c>
      <c r="K602" s="70" t="s">
        <v>33</v>
      </c>
      <c r="L602" s="70" t="s">
        <v>17</v>
      </c>
      <c r="M602" s="70" t="s">
        <v>0</v>
      </c>
      <c r="N602" s="114"/>
      <c r="O602" s="4" t="s">
        <v>6</v>
      </c>
      <c r="P602" s="4" t="s">
        <v>34</v>
      </c>
      <c r="Q602" s="6" t="s">
        <v>2</v>
      </c>
      <c r="R602" s="17" t="s">
        <v>1</v>
      </c>
      <c r="S602" s="17" t="s">
        <v>25</v>
      </c>
      <c r="T602" s="17" t="s">
        <v>26</v>
      </c>
      <c r="U602" s="7" t="s">
        <v>21</v>
      </c>
      <c r="V602" s="7" t="s">
        <v>22</v>
      </c>
      <c r="W602" s="7" t="s">
        <v>24</v>
      </c>
      <c r="X602" s="84"/>
      <c r="Y602" s="82"/>
      <c r="Z602" s="125" t="s">
        <v>39</v>
      </c>
    </row>
    <row r="603" spans="1:26" x14ac:dyDescent="0.2">
      <c r="A603" s="98"/>
      <c r="B603" s="99"/>
      <c r="C603" s="99"/>
      <c r="D603" s="99"/>
      <c r="E603" s="99"/>
      <c r="F603" s="99"/>
      <c r="G603" s="99"/>
      <c r="H603" s="100"/>
      <c r="I603" s="75"/>
      <c r="J603" s="68"/>
      <c r="K603" s="68"/>
      <c r="L603" s="68"/>
      <c r="M603" s="68"/>
      <c r="N603" s="114"/>
      <c r="O603" s="34"/>
      <c r="P603" s="34"/>
      <c r="Q603" s="2">
        <v>15</v>
      </c>
      <c r="R603" s="2">
        <f t="shared" ref="R603:R608" si="1739">T603-Q603</f>
        <v>-15</v>
      </c>
      <c r="S603" s="2"/>
      <c r="T603" s="2"/>
      <c r="U603" s="2">
        <f t="shared" ref="U603" si="1740">0.098*J606*M606*0.5*R603</f>
        <v>0</v>
      </c>
      <c r="V603" s="10">
        <f t="shared" ref="V603" si="1741">0.098*J606*M606*Q603</f>
        <v>0</v>
      </c>
      <c r="W603" s="2">
        <f t="shared" ref="W603" si="1742">0.098*J606*M606*(S603-T603)</f>
        <v>0</v>
      </c>
      <c r="X603" s="84"/>
      <c r="Y603" s="82"/>
      <c r="Z603" s="125"/>
    </row>
    <row r="604" spans="1:26" x14ac:dyDescent="0.2">
      <c r="A604" s="101"/>
      <c r="B604" s="102"/>
      <c r="C604" s="102"/>
      <c r="D604" s="102"/>
      <c r="E604" s="102"/>
      <c r="F604" s="102"/>
      <c r="G604" s="102"/>
      <c r="H604" s="103"/>
      <c r="I604" s="75"/>
      <c r="J604" s="68"/>
      <c r="K604" s="68"/>
      <c r="L604" s="68"/>
      <c r="M604" s="68"/>
      <c r="N604" s="114"/>
      <c r="O604" s="34"/>
      <c r="P604" s="34"/>
      <c r="Q604" s="2">
        <f t="shared" ref="Q604:Q608" si="1743">Q603-2</f>
        <v>13</v>
      </c>
      <c r="R604" s="2">
        <f t="shared" si="1739"/>
        <v>-13</v>
      </c>
      <c r="S604" s="2"/>
      <c r="T604" s="2"/>
      <c r="U604" s="2">
        <f t="shared" ref="U604" si="1744">0.098*J606*M606*0.5*R604</f>
        <v>0</v>
      </c>
      <c r="V604" s="10">
        <f t="shared" ref="V604" si="1745">0.098*J606*M606*Q604</f>
        <v>0</v>
      </c>
      <c r="W604" s="2">
        <f t="shared" ref="W604" si="1746">0.098*J606*M606*(S604-T604)</f>
        <v>0</v>
      </c>
      <c r="X604" s="84"/>
      <c r="Y604" s="82"/>
      <c r="Z604" s="125"/>
    </row>
    <row r="605" spans="1:26" x14ac:dyDescent="0.2">
      <c r="A605" s="101"/>
      <c r="B605" s="102"/>
      <c r="C605" s="102"/>
      <c r="D605" s="102"/>
      <c r="E605" s="102"/>
      <c r="F605" s="102"/>
      <c r="G605" s="102"/>
      <c r="H605" s="103"/>
      <c r="I605" s="75"/>
      <c r="J605" s="69"/>
      <c r="K605" s="69"/>
      <c r="L605" s="69"/>
      <c r="M605" s="69"/>
      <c r="N605" s="114"/>
      <c r="O605" s="34"/>
      <c r="P605" s="34"/>
      <c r="Q605" s="2">
        <f t="shared" si="1743"/>
        <v>11</v>
      </c>
      <c r="R605" s="2">
        <f t="shared" si="1739"/>
        <v>-11</v>
      </c>
      <c r="S605" s="2"/>
      <c r="T605" s="2"/>
      <c r="U605" s="2">
        <f t="shared" ref="U605" si="1747">0.098*J606*M606*0.5*R605</f>
        <v>0</v>
      </c>
      <c r="V605" s="10">
        <f t="shared" ref="V605" si="1748">0.098*J606*M606*Q605</f>
        <v>0</v>
      </c>
      <c r="W605" s="2">
        <f t="shared" ref="W605" si="1749">0.098*J606*M606*(S605-T605)</f>
        <v>0</v>
      </c>
      <c r="X605" s="84"/>
      <c r="Y605" s="82"/>
      <c r="Z605" s="125"/>
    </row>
    <row r="606" spans="1:26" x14ac:dyDescent="0.2">
      <c r="A606" s="101"/>
      <c r="B606" s="102"/>
      <c r="C606" s="102"/>
      <c r="D606" s="102"/>
      <c r="E606" s="102"/>
      <c r="F606" s="102"/>
      <c r="G606" s="102"/>
      <c r="H606" s="103"/>
      <c r="I606" s="75"/>
      <c r="J606" s="86">
        <f t="shared" ref="J606" si="1750">(9*F602)/1000</f>
        <v>-0.79815599999999998</v>
      </c>
      <c r="K606" s="89"/>
      <c r="L606" s="92"/>
      <c r="M606" s="92"/>
      <c r="N606" s="114"/>
      <c r="O606" s="34"/>
      <c r="P606" s="34"/>
      <c r="Q606" s="2">
        <f t="shared" si="1743"/>
        <v>9</v>
      </c>
      <c r="R606" s="2">
        <f t="shared" si="1739"/>
        <v>-9</v>
      </c>
      <c r="S606" s="2"/>
      <c r="T606" s="2"/>
      <c r="U606" s="2">
        <f t="shared" ref="U606" si="1751">0.098*J606*M606*0.5*R606</f>
        <v>0</v>
      </c>
      <c r="V606" s="10">
        <f t="shared" ref="V606" si="1752">0.098*J606*M606*Q606</f>
        <v>0</v>
      </c>
      <c r="W606" s="2">
        <f t="shared" ref="W606" si="1753">0.098*J606*M606*(S606-T606)</f>
        <v>0</v>
      </c>
      <c r="X606" s="84"/>
      <c r="Y606" s="82"/>
      <c r="Z606" s="101">
        <f t="shared" ref="Z606" si="1754">_xlfn.STDEV.S(R603:R608)</f>
        <v>3.7416573867739413</v>
      </c>
    </row>
    <row r="607" spans="1:26" x14ac:dyDescent="0.2">
      <c r="A607" s="101"/>
      <c r="B607" s="102"/>
      <c r="C607" s="102"/>
      <c r="D607" s="102"/>
      <c r="E607" s="102"/>
      <c r="F607" s="102"/>
      <c r="G607" s="102"/>
      <c r="H607" s="103"/>
      <c r="I607" s="75"/>
      <c r="J607" s="87"/>
      <c r="K607" s="90"/>
      <c r="L607" s="93"/>
      <c r="M607" s="93"/>
      <c r="N607" s="114"/>
      <c r="O607" s="34"/>
      <c r="P607" s="34"/>
      <c r="Q607" s="2">
        <f t="shared" si="1743"/>
        <v>7</v>
      </c>
      <c r="R607" s="2">
        <f t="shared" si="1739"/>
        <v>-7</v>
      </c>
      <c r="S607" s="2"/>
      <c r="T607" s="2"/>
      <c r="U607" s="2">
        <f t="shared" ref="U607" si="1755">0.098*J606*M606*0.5*R607</f>
        <v>0</v>
      </c>
      <c r="V607" s="10">
        <f t="shared" ref="V607" si="1756">0.098*J606*M606*Q607</f>
        <v>0</v>
      </c>
      <c r="W607" s="2">
        <f t="shared" ref="W607" si="1757">0.098*J606*M606*(S607-T607)</f>
        <v>0</v>
      </c>
      <c r="X607" s="84"/>
      <c r="Y607" s="82"/>
      <c r="Z607" s="101"/>
    </row>
    <row r="608" spans="1:26" ht="17" thickBot="1" x14ac:dyDescent="0.25">
      <c r="A608" s="104"/>
      <c r="B608" s="105"/>
      <c r="C608" s="105"/>
      <c r="D608" s="105"/>
      <c r="E608" s="105"/>
      <c r="F608" s="105"/>
      <c r="G608" s="105"/>
      <c r="H608" s="106"/>
      <c r="I608" s="117"/>
      <c r="J608" s="88"/>
      <c r="K608" s="91"/>
      <c r="L608" s="94"/>
      <c r="M608" s="94"/>
      <c r="N608" s="115"/>
      <c r="O608" s="35"/>
      <c r="P608" s="35"/>
      <c r="Q608" s="20">
        <f t="shared" si="1743"/>
        <v>5</v>
      </c>
      <c r="R608" s="2">
        <f t="shared" si="1739"/>
        <v>-5</v>
      </c>
      <c r="S608" s="20"/>
      <c r="T608" s="20"/>
      <c r="U608" s="20">
        <f t="shared" ref="U608" si="1758">0.098*J606*M606*0.5*R608</f>
        <v>0</v>
      </c>
      <c r="V608" s="21">
        <f t="shared" ref="V608" si="1759">0.098*J606*M606*Q608</f>
        <v>0</v>
      </c>
      <c r="W608" s="20">
        <f t="shared" ref="W608" si="1760">0.098*J606*M606*(S608-T608)</f>
        <v>0</v>
      </c>
      <c r="X608" s="85"/>
      <c r="Y608" s="83"/>
      <c r="Z608" s="101"/>
    </row>
    <row r="609" spans="1:26" x14ac:dyDescent="0.2">
      <c r="A609" s="107" t="s">
        <v>8</v>
      </c>
      <c r="B609" s="110" t="s">
        <v>3</v>
      </c>
      <c r="C609" s="110" t="s">
        <v>7</v>
      </c>
      <c r="D609" s="110" t="s">
        <v>9</v>
      </c>
      <c r="E609" s="71" t="s">
        <v>11</v>
      </c>
      <c r="F609" s="71" t="s">
        <v>10</v>
      </c>
      <c r="G609" s="71" t="s">
        <v>12</v>
      </c>
      <c r="H609" s="71" t="s">
        <v>32</v>
      </c>
      <c r="I609" s="74" t="s">
        <v>14</v>
      </c>
      <c r="J609" s="67" t="s">
        <v>31</v>
      </c>
      <c r="K609" s="67" t="s">
        <v>33</v>
      </c>
      <c r="L609" s="67" t="s">
        <v>17</v>
      </c>
      <c r="M609" s="67" t="s">
        <v>0</v>
      </c>
      <c r="N609" s="113" t="s">
        <v>16</v>
      </c>
      <c r="O609" s="4" t="s">
        <v>6</v>
      </c>
      <c r="P609" s="4" t="s">
        <v>34</v>
      </c>
      <c r="Q609" s="17" t="s">
        <v>2</v>
      </c>
      <c r="R609" s="17" t="s">
        <v>1</v>
      </c>
      <c r="S609" s="17" t="s">
        <v>25</v>
      </c>
      <c r="T609" s="17" t="s">
        <v>26</v>
      </c>
      <c r="U609" s="18" t="s">
        <v>20</v>
      </c>
      <c r="V609" s="18" t="s">
        <v>22</v>
      </c>
      <c r="W609" s="18" t="s">
        <v>24</v>
      </c>
      <c r="X609" s="77" t="s">
        <v>19</v>
      </c>
      <c r="Y609" s="79" t="s">
        <v>23</v>
      </c>
      <c r="Z609" s="125" t="s">
        <v>39</v>
      </c>
    </row>
    <row r="610" spans="1:26" x14ac:dyDescent="0.2">
      <c r="A610" s="108"/>
      <c r="B610" s="111"/>
      <c r="C610" s="111"/>
      <c r="D610" s="111"/>
      <c r="E610" s="72"/>
      <c r="F610" s="72"/>
      <c r="G610" s="72"/>
      <c r="H610" s="72"/>
      <c r="I610" s="75"/>
      <c r="J610" s="68"/>
      <c r="K610" s="68"/>
      <c r="L610" s="68"/>
      <c r="M610" s="68"/>
      <c r="N610" s="114"/>
      <c r="O610" s="34"/>
      <c r="P610" s="34"/>
      <c r="Q610" s="2">
        <v>15</v>
      </c>
      <c r="R610" s="2">
        <f t="shared" ref="R610:R615" si="1761">T610-Q610</f>
        <v>-15</v>
      </c>
      <c r="S610" s="2"/>
      <c r="T610" s="2"/>
      <c r="U610" s="9">
        <f t="shared" ref="U610" si="1762">0.098*J613*M613*0.5*R610</f>
        <v>0</v>
      </c>
      <c r="V610" s="9">
        <f t="shared" ref="V610" si="1763">0.098*J613*M613*Q610</f>
        <v>0</v>
      </c>
      <c r="W610" s="8">
        <f t="shared" ref="W610" si="1764">0.098*J613*M613*(S610-T610)</f>
        <v>0</v>
      </c>
      <c r="X610" s="78"/>
      <c r="Y610" s="80"/>
      <c r="Z610" s="125"/>
    </row>
    <row r="611" spans="1:26" x14ac:dyDescent="0.2">
      <c r="A611" s="108"/>
      <c r="B611" s="111"/>
      <c r="C611" s="111"/>
      <c r="D611" s="111"/>
      <c r="E611" s="72"/>
      <c r="F611" s="72"/>
      <c r="G611" s="72"/>
      <c r="H611" s="72"/>
      <c r="I611" s="75"/>
      <c r="J611" s="68"/>
      <c r="K611" s="68"/>
      <c r="L611" s="68"/>
      <c r="M611" s="68"/>
      <c r="N611" s="114"/>
      <c r="O611" s="34"/>
      <c r="P611" s="34"/>
      <c r="Q611" s="2">
        <f t="shared" ref="Q611:Q615" si="1765">Q610-2</f>
        <v>13</v>
      </c>
      <c r="R611" s="2">
        <f t="shared" si="1761"/>
        <v>-13</v>
      </c>
      <c r="S611" s="2"/>
      <c r="T611" s="2"/>
      <c r="U611" s="9">
        <f t="shared" ref="U611" si="1766">0.098*J613*M613*0.5*R611</f>
        <v>0</v>
      </c>
      <c r="V611" s="9">
        <f t="shared" ref="V611" si="1767">0.098*J613*M613*Q611</f>
        <v>0</v>
      </c>
      <c r="W611" s="8">
        <f t="shared" ref="W611" si="1768">0.098*J613*M613*(S611-T611)</f>
        <v>0</v>
      </c>
      <c r="X611" s="23"/>
      <c r="Y611" s="81"/>
      <c r="Z611" s="125"/>
    </row>
    <row r="612" spans="1:26" x14ac:dyDescent="0.2">
      <c r="A612" s="108"/>
      <c r="B612" s="111"/>
      <c r="C612" s="111"/>
      <c r="D612" s="111"/>
      <c r="E612" s="72"/>
      <c r="F612" s="72"/>
      <c r="G612" s="72"/>
      <c r="H612" s="72"/>
      <c r="I612" s="75"/>
      <c r="J612" s="69"/>
      <c r="K612" s="69"/>
      <c r="L612" s="69"/>
      <c r="M612" s="69"/>
      <c r="N612" s="114"/>
      <c r="O612" s="34"/>
      <c r="P612" s="34"/>
      <c r="Q612" s="2">
        <f t="shared" si="1765"/>
        <v>11</v>
      </c>
      <c r="R612" s="2">
        <f t="shared" si="1761"/>
        <v>-11</v>
      </c>
      <c r="S612" s="2"/>
      <c r="T612" s="2"/>
      <c r="U612" s="9">
        <f t="shared" ref="U612" si="1769">0.098*J613*M613*0.5*R612</f>
        <v>0</v>
      </c>
      <c r="V612" s="9">
        <f t="shared" ref="V612" si="1770">0.098*J613*M613*Q612</f>
        <v>0</v>
      </c>
      <c r="W612" s="8">
        <f t="shared" ref="W612" si="1771">0.098*J613*M613*(S612-T612)</f>
        <v>0</v>
      </c>
      <c r="X612" s="84"/>
      <c r="Y612" s="82"/>
      <c r="Z612" s="125"/>
    </row>
    <row r="613" spans="1:26" x14ac:dyDescent="0.2">
      <c r="A613" s="108"/>
      <c r="B613" s="111"/>
      <c r="C613" s="111"/>
      <c r="D613" s="111"/>
      <c r="E613" s="72"/>
      <c r="F613" s="72"/>
      <c r="G613" s="72"/>
      <c r="H613" s="72"/>
      <c r="I613" s="75"/>
      <c r="J613" s="86">
        <f t="shared" ref="J613" si="1772">(7*F616)/1000</f>
        <v>-0.62078800000000001</v>
      </c>
      <c r="K613" s="89"/>
      <c r="L613" s="92"/>
      <c r="M613" s="92"/>
      <c r="N613" s="114"/>
      <c r="O613" s="34"/>
      <c r="P613" s="34"/>
      <c r="Q613" s="2">
        <f t="shared" si="1765"/>
        <v>9</v>
      </c>
      <c r="R613" s="2">
        <f t="shared" si="1761"/>
        <v>-9</v>
      </c>
      <c r="S613" s="2"/>
      <c r="T613" s="2"/>
      <c r="U613" s="9">
        <f t="shared" ref="U613" si="1773">0.098*J613*M613*0.5*R613</f>
        <v>0</v>
      </c>
      <c r="V613" s="9">
        <f t="shared" ref="V613" si="1774">0.098*J613*M613*Q613</f>
        <v>0</v>
      </c>
      <c r="W613" s="8">
        <f t="shared" ref="W613" si="1775">0.098*J613*M613*(S613-T613)</f>
        <v>0</v>
      </c>
      <c r="X613" s="84"/>
      <c r="Y613" s="82"/>
      <c r="Z613" s="101">
        <f t="shared" ref="Z613" si="1776">_xlfn.STDEV.S(R610:R615)</f>
        <v>3.7416573867739413</v>
      </c>
    </row>
    <row r="614" spans="1:26" x14ac:dyDescent="0.2">
      <c r="A614" s="108"/>
      <c r="B614" s="111"/>
      <c r="C614" s="111"/>
      <c r="D614" s="111"/>
      <c r="E614" s="72"/>
      <c r="F614" s="72"/>
      <c r="G614" s="72"/>
      <c r="H614" s="72"/>
      <c r="I614" s="75"/>
      <c r="J614" s="87"/>
      <c r="K614" s="90"/>
      <c r="L614" s="93"/>
      <c r="M614" s="93"/>
      <c r="N614" s="114"/>
      <c r="O614" s="34"/>
      <c r="P614" s="34"/>
      <c r="Q614" s="2">
        <f t="shared" si="1765"/>
        <v>7</v>
      </c>
      <c r="R614" s="2">
        <f t="shared" si="1761"/>
        <v>-7</v>
      </c>
      <c r="S614" s="2"/>
      <c r="T614" s="2"/>
      <c r="U614" s="9">
        <f t="shared" ref="U614" si="1777">0.098*J613*M613*0.5*R614</f>
        <v>0</v>
      </c>
      <c r="V614" s="9">
        <f t="shared" ref="V614" si="1778">0.098*J613*M613*Q614</f>
        <v>0</v>
      </c>
      <c r="W614" s="8">
        <f t="shared" ref="W614" si="1779">0.098*J613*M613*(S614-T614)</f>
        <v>0</v>
      </c>
      <c r="X614" s="84"/>
      <c r="Y614" s="82"/>
      <c r="Z614" s="101"/>
    </row>
    <row r="615" spans="1:26" ht="17" thickBot="1" x14ac:dyDescent="0.25">
      <c r="A615" s="109"/>
      <c r="B615" s="112"/>
      <c r="C615" s="112"/>
      <c r="D615" s="112"/>
      <c r="E615" s="73"/>
      <c r="F615" s="73"/>
      <c r="G615" s="73"/>
      <c r="H615" s="73"/>
      <c r="I615" s="76"/>
      <c r="J615" s="97"/>
      <c r="K615" s="96"/>
      <c r="L615" s="95"/>
      <c r="M615" s="95"/>
      <c r="N615" s="114"/>
      <c r="O615" s="34"/>
      <c r="P615" s="34"/>
      <c r="Q615" s="2">
        <f t="shared" si="1765"/>
        <v>5</v>
      </c>
      <c r="R615" s="2">
        <f t="shared" si="1761"/>
        <v>-5</v>
      </c>
      <c r="S615" s="2"/>
      <c r="T615" s="2"/>
      <c r="U615" s="9">
        <f t="shared" ref="U615" si="1780">0.098*J613*M613*0.5*R615</f>
        <v>0</v>
      </c>
      <c r="V615" s="9">
        <f t="shared" ref="V615" si="1781">0.098*J613*M613*Q615</f>
        <v>0</v>
      </c>
      <c r="W615" s="8">
        <f t="shared" ref="W615" si="1782">0.098*J613*M613*(S615-T615)</f>
        <v>0</v>
      </c>
      <c r="X615" s="84"/>
      <c r="Y615" s="82"/>
      <c r="Z615" s="101"/>
    </row>
    <row r="616" spans="1:26" x14ac:dyDescent="0.2">
      <c r="A616" s="19">
        <f t="shared" si="1644"/>
        <v>43</v>
      </c>
      <c r="B616" s="3" t="s">
        <v>5</v>
      </c>
      <c r="C616" s="3"/>
      <c r="D616" s="3"/>
      <c r="E616" s="3"/>
      <c r="F616" s="3">
        <f t="shared" ref="F616" si="1783">IF(B616="M", 50 + 0.91*(D616-152.4), IF(B616="F", 45.5 + 0.91*(D616-152.4), ""))</f>
        <v>-88.683999999999997</v>
      </c>
      <c r="G616" s="3"/>
      <c r="H616" s="3" t="e">
        <f t="shared" ref="H616" si="1784">E616/(D616*10^-2)^2</f>
        <v>#DIV/0!</v>
      </c>
      <c r="I616" s="116" t="s">
        <v>15</v>
      </c>
      <c r="J616" s="70" t="s">
        <v>31</v>
      </c>
      <c r="K616" s="70" t="s">
        <v>33</v>
      </c>
      <c r="L616" s="70" t="s">
        <v>17</v>
      </c>
      <c r="M616" s="70" t="s">
        <v>0</v>
      </c>
      <c r="N616" s="114"/>
      <c r="O616" s="4" t="s">
        <v>6</v>
      </c>
      <c r="P616" s="4" t="s">
        <v>34</v>
      </c>
      <c r="Q616" s="6" t="s">
        <v>2</v>
      </c>
      <c r="R616" s="17" t="s">
        <v>1</v>
      </c>
      <c r="S616" s="17" t="s">
        <v>25</v>
      </c>
      <c r="T616" s="17" t="s">
        <v>26</v>
      </c>
      <c r="U616" s="7" t="s">
        <v>21</v>
      </c>
      <c r="V616" s="7" t="s">
        <v>22</v>
      </c>
      <c r="W616" s="7" t="s">
        <v>24</v>
      </c>
      <c r="X616" s="84"/>
      <c r="Y616" s="82"/>
      <c r="Z616" s="125" t="s">
        <v>39</v>
      </c>
    </row>
    <row r="617" spans="1:26" x14ac:dyDescent="0.2">
      <c r="A617" s="98"/>
      <c r="B617" s="99"/>
      <c r="C617" s="99"/>
      <c r="D617" s="99"/>
      <c r="E617" s="99"/>
      <c r="F617" s="99"/>
      <c r="G617" s="99"/>
      <c r="H617" s="100"/>
      <c r="I617" s="75"/>
      <c r="J617" s="68"/>
      <c r="K617" s="68"/>
      <c r="L617" s="68"/>
      <c r="M617" s="68"/>
      <c r="N617" s="114"/>
      <c r="O617" s="34"/>
      <c r="P617" s="34"/>
      <c r="Q617" s="2">
        <v>15</v>
      </c>
      <c r="R617" s="2">
        <f t="shared" ref="R617:R622" si="1785">T617-Q617</f>
        <v>-15</v>
      </c>
      <c r="S617" s="2"/>
      <c r="T617" s="2"/>
      <c r="U617" s="2">
        <f t="shared" ref="U617" si="1786">0.098*J620*M620*0.5*R617</f>
        <v>0</v>
      </c>
      <c r="V617" s="10">
        <f t="shared" ref="V617" si="1787">0.098*J620*M620*Q617</f>
        <v>0</v>
      </c>
      <c r="W617" s="2">
        <f t="shared" ref="W617" si="1788">0.098*J620*M620*(S617-T617)</f>
        <v>0</v>
      </c>
      <c r="X617" s="84"/>
      <c r="Y617" s="82"/>
      <c r="Z617" s="125"/>
    </row>
    <row r="618" spans="1:26" x14ac:dyDescent="0.2">
      <c r="A618" s="101"/>
      <c r="B618" s="102"/>
      <c r="C618" s="102"/>
      <c r="D618" s="102"/>
      <c r="E618" s="102"/>
      <c r="F618" s="102"/>
      <c r="G618" s="102"/>
      <c r="H618" s="103"/>
      <c r="I618" s="75"/>
      <c r="J618" s="68"/>
      <c r="K618" s="68"/>
      <c r="L618" s="68"/>
      <c r="M618" s="68"/>
      <c r="N618" s="114"/>
      <c r="O618" s="34"/>
      <c r="P618" s="34"/>
      <c r="Q618" s="2">
        <f t="shared" ref="Q618:Q622" si="1789">Q617-2</f>
        <v>13</v>
      </c>
      <c r="R618" s="2">
        <f t="shared" si="1785"/>
        <v>-13</v>
      </c>
      <c r="S618" s="2"/>
      <c r="T618" s="2"/>
      <c r="U618" s="2">
        <f t="shared" ref="U618" si="1790">0.098*J620*M620*0.5*R618</f>
        <v>0</v>
      </c>
      <c r="V618" s="10">
        <f t="shared" ref="V618" si="1791">0.098*J620*M620*Q618</f>
        <v>0</v>
      </c>
      <c r="W618" s="2">
        <f t="shared" ref="W618" si="1792">0.098*J620*M620*(S618-T618)</f>
        <v>0</v>
      </c>
      <c r="X618" s="84"/>
      <c r="Y618" s="82"/>
      <c r="Z618" s="125"/>
    </row>
    <row r="619" spans="1:26" x14ac:dyDescent="0.2">
      <c r="A619" s="101"/>
      <c r="B619" s="102"/>
      <c r="C619" s="102"/>
      <c r="D619" s="102"/>
      <c r="E619" s="102"/>
      <c r="F619" s="102"/>
      <c r="G619" s="102"/>
      <c r="H619" s="103"/>
      <c r="I619" s="75"/>
      <c r="J619" s="69"/>
      <c r="K619" s="69"/>
      <c r="L619" s="69"/>
      <c r="M619" s="69"/>
      <c r="N619" s="114"/>
      <c r="O619" s="34"/>
      <c r="P619" s="34"/>
      <c r="Q619" s="2">
        <f t="shared" si="1789"/>
        <v>11</v>
      </c>
      <c r="R619" s="2">
        <f t="shared" si="1785"/>
        <v>-11</v>
      </c>
      <c r="S619" s="2"/>
      <c r="T619" s="2"/>
      <c r="U619" s="2">
        <f t="shared" ref="U619" si="1793">0.098*J620*M620*0.5*R619</f>
        <v>0</v>
      </c>
      <c r="V619" s="10">
        <f t="shared" ref="V619" si="1794">0.098*J620*M620*Q619</f>
        <v>0</v>
      </c>
      <c r="W619" s="2">
        <f t="shared" ref="W619" si="1795">0.098*J620*M620*(S619-T619)</f>
        <v>0</v>
      </c>
      <c r="X619" s="84"/>
      <c r="Y619" s="82"/>
      <c r="Z619" s="125"/>
    </row>
    <row r="620" spans="1:26" x14ac:dyDescent="0.2">
      <c r="A620" s="101"/>
      <c r="B620" s="102"/>
      <c r="C620" s="102"/>
      <c r="D620" s="102"/>
      <c r="E620" s="102"/>
      <c r="F620" s="102"/>
      <c r="G620" s="102"/>
      <c r="H620" s="103"/>
      <c r="I620" s="75"/>
      <c r="J620" s="86">
        <f t="shared" ref="J620" si="1796">(9*F616)/1000</f>
        <v>-0.79815599999999998</v>
      </c>
      <c r="K620" s="89"/>
      <c r="L620" s="92"/>
      <c r="M620" s="92"/>
      <c r="N620" s="114"/>
      <c r="O620" s="34"/>
      <c r="P620" s="34"/>
      <c r="Q620" s="2">
        <f t="shared" si="1789"/>
        <v>9</v>
      </c>
      <c r="R620" s="2">
        <f t="shared" si="1785"/>
        <v>-9</v>
      </c>
      <c r="S620" s="2"/>
      <c r="T620" s="2"/>
      <c r="U620" s="2">
        <f t="shared" ref="U620" si="1797">0.098*J620*M620*0.5*R620</f>
        <v>0</v>
      </c>
      <c r="V620" s="10">
        <f t="shared" ref="V620" si="1798">0.098*J620*M620*Q620</f>
        <v>0</v>
      </c>
      <c r="W620" s="2">
        <f t="shared" ref="W620" si="1799">0.098*J620*M620*(S620-T620)</f>
        <v>0</v>
      </c>
      <c r="X620" s="84"/>
      <c r="Y620" s="82"/>
      <c r="Z620" s="101">
        <f t="shared" ref="Z620" si="1800">_xlfn.STDEV.S(R617:R622)</f>
        <v>3.7416573867739413</v>
      </c>
    </row>
    <row r="621" spans="1:26" x14ac:dyDescent="0.2">
      <c r="A621" s="101"/>
      <c r="B621" s="102"/>
      <c r="C621" s="102"/>
      <c r="D621" s="102"/>
      <c r="E621" s="102"/>
      <c r="F621" s="102"/>
      <c r="G621" s="102"/>
      <c r="H621" s="103"/>
      <c r="I621" s="75"/>
      <c r="J621" s="87"/>
      <c r="K621" s="90"/>
      <c r="L621" s="93"/>
      <c r="M621" s="93"/>
      <c r="N621" s="114"/>
      <c r="O621" s="34"/>
      <c r="P621" s="34"/>
      <c r="Q621" s="2">
        <f t="shared" si="1789"/>
        <v>7</v>
      </c>
      <c r="R621" s="2">
        <f t="shared" si="1785"/>
        <v>-7</v>
      </c>
      <c r="S621" s="2"/>
      <c r="T621" s="2"/>
      <c r="U621" s="2">
        <f t="shared" ref="U621" si="1801">0.098*J620*M620*0.5*R621</f>
        <v>0</v>
      </c>
      <c r="V621" s="10">
        <f t="shared" ref="V621" si="1802">0.098*J620*M620*Q621</f>
        <v>0</v>
      </c>
      <c r="W621" s="2">
        <f t="shared" ref="W621" si="1803">0.098*J620*M620*(S621-T621)</f>
        <v>0</v>
      </c>
      <c r="X621" s="84"/>
      <c r="Y621" s="82"/>
      <c r="Z621" s="101"/>
    </row>
    <row r="622" spans="1:26" ht="17" thickBot="1" x14ac:dyDescent="0.25">
      <c r="A622" s="104"/>
      <c r="B622" s="105"/>
      <c r="C622" s="105"/>
      <c r="D622" s="105"/>
      <c r="E622" s="105"/>
      <c r="F622" s="105"/>
      <c r="G622" s="105"/>
      <c r="H622" s="106"/>
      <c r="I622" s="117"/>
      <c r="J622" s="88"/>
      <c r="K622" s="91"/>
      <c r="L622" s="94"/>
      <c r="M622" s="94"/>
      <c r="N622" s="115"/>
      <c r="O622" s="35"/>
      <c r="P622" s="35"/>
      <c r="Q622" s="20">
        <f t="shared" si="1789"/>
        <v>5</v>
      </c>
      <c r="R622" s="2">
        <f t="shared" si="1785"/>
        <v>-5</v>
      </c>
      <c r="S622" s="20"/>
      <c r="T622" s="20"/>
      <c r="U622" s="20">
        <f t="shared" ref="U622" si="1804">0.098*J620*M620*0.5*R622</f>
        <v>0</v>
      </c>
      <c r="V622" s="21">
        <f t="shared" ref="V622" si="1805">0.098*J620*M620*Q622</f>
        <v>0</v>
      </c>
      <c r="W622" s="20">
        <f t="shared" ref="W622" si="1806">0.098*J620*M620*(S622-T622)</f>
        <v>0</v>
      </c>
      <c r="X622" s="85"/>
      <c r="Y622" s="83"/>
      <c r="Z622" s="101"/>
    </row>
    <row r="623" spans="1:26" x14ac:dyDescent="0.2">
      <c r="A623" s="107" t="s">
        <v>8</v>
      </c>
      <c r="B623" s="110" t="s">
        <v>3</v>
      </c>
      <c r="C623" s="110" t="s">
        <v>7</v>
      </c>
      <c r="D623" s="110" t="s">
        <v>9</v>
      </c>
      <c r="E623" s="71" t="s">
        <v>11</v>
      </c>
      <c r="F623" s="71" t="s">
        <v>10</v>
      </c>
      <c r="G623" s="71" t="s">
        <v>12</v>
      </c>
      <c r="H623" s="71" t="s">
        <v>32</v>
      </c>
      <c r="I623" s="74" t="s">
        <v>14</v>
      </c>
      <c r="J623" s="67" t="s">
        <v>31</v>
      </c>
      <c r="K623" s="67" t="s">
        <v>33</v>
      </c>
      <c r="L623" s="67" t="s">
        <v>17</v>
      </c>
      <c r="M623" s="67" t="s">
        <v>0</v>
      </c>
      <c r="N623" s="113" t="s">
        <v>16</v>
      </c>
      <c r="O623" s="4" t="s">
        <v>6</v>
      </c>
      <c r="P623" s="4" t="s">
        <v>34</v>
      </c>
      <c r="Q623" s="17" t="s">
        <v>2</v>
      </c>
      <c r="R623" s="17" t="s">
        <v>1</v>
      </c>
      <c r="S623" s="17" t="s">
        <v>25</v>
      </c>
      <c r="T623" s="17" t="s">
        <v>26</v>
      </c>
      <c r="U623" s="18" t="s">
        <v>20</v>
      </c>
      <c r="V623" s="18" t="s">
        <v>22</v>
      </c>
      <c r="W623" s="18" t="s">
        <v>24</v>
      </c>
      <c r="X623" s="77" t="s">
        <v>19</v>
      </c>
      <c r="Y623" s="79" t="s">
        <v>23</v>
      </c>
      <c r="Z623" s="125" t="s">
        <v>39</v>
      </c>
    </row>
    <row r="624" spans="1:26" x14ac:dyDescent="0.2">
      <c r="A624" s="108"/>
      <c r="B624" s="111"/>
      <c r="C624" s="111"/>
      <c r="D624" s="111"/>
      <c r="E624" s="72"/>
      <c r="F624" s="72"/>
      <c r="G624" s="72"/>
      <c r="H624" s="72"/>
      <c r="I624" s="75"/>
      <c r="J624" s="68"/>
      <c r="K624" s="68"/>
      <c r="L624" s="68"/>
      <c r="M624" s="68"/>
      <c r="N624" s="114"/>
      <c r="O624" s="34"/>
      <c r="P624" s="34"/>
      <c r="Q624" s="2">
        <v>15</v>
      </c>
      <c r="R624" s="2">
        <f t="shared" ref="R624:R629" si="1807">T624-Q624</f>
        <v>-15</v>
      </c>
      <c r="S624" s="2"/>
      <c r="T624" s="2"/>
      <c r="U624" s="9">
        <f t="shared" ref="U624" si="1808">0.098*J627*M627*0.5*R624</f>
        <v>0</v>
      </c>
      <c r="V624" s="9">
        <f t="shared" ref="V624" si="1809">0.098*J627*M627*Q624</f>
        <v>0</v>
      </c>
      <c r="W624" s="8">
        <f t="shared" ref="W624" si="1810">0.098*J627*M627*(S624-T624)</f>
        <v>0</v>
      </c>
      <c r="X624" s="78"/>
      <c r="Y624" s="80"/>
      <c r="Z624" s="125"/>
    </row>
    <row r="625" spans="1:26" x14ac:dyDescent="0.2">
      <c r="A625" s="108"/>
      <c r="B625" s="111"/>
      <c r="C625" s="111"/>
      <c r="D625" s="111"/>
      <c r="E625" s="72"/>
      <c r="F625" s="72"/>
      <c r="G625" s="72"/>
      <c r="H625" s="72"/>
      <c r="I625" s="75"/>
      <c r="J625" s="68"/>
      <c r="K625" s="68"/>
      <c r="L625" s="68"/>
      <c r="M625" s="68"/>
      <c r="N625" s="114"/>
      <c r="O625" s="34"/>
      <c r="P625" s="34"/>
      <c r="Q625" s="2">
        <f t="shared" ref="Q625:Q629" si="1811">Q624-2</f>
        <v>13</v>
      </c>
      <c r="R625" s="2">
        <f t="shared" si="1807"/>
        <v>-13</v>
      </c>
      <c r="S625" s="2"/>
      <c r="T625" s="2"/>
      <c r="U625" s="9">
        <f t="shared" ref="U625" si="1812">0.098*J627*M627*0.5*R625</f>
        <v>0</v>
      </c>
      <c r="V625" s="9">
        <f t="shared" ref="V625" si="1813">0.098*J627*M627*Q625</f>
        <v>0</v>
      </c>
      <c r="W625" s="8">
        <f t="shared" ref="W625" si="1814">0.098*J627*M627*(S625-T625)</f>
        <v>0</v>
      </c>
      <c r="X625" s="23"/>
      <c r="Y625" s="81"/>
      <c r="Z625" s="125"/>
    </row>
    <row r="626" spans="1:26" x14ac:dyDescent="0.2">
      <c r="A626" s="108"/>
      <c r="B626" s="111"/>
      <c r="C626" s="111"/>
      <c r="D626" s="111"/>
      <c r="E626" s="72"/>
      <c r="F626" s="72"/>
      <c r="G626" s="72"/>
      <c r="H626" s="72"/>
      <c r="I626" s="75"/>
      <c r="J626" s="69"/>
      <c r="K626" s="69"/>
      <c r="L626" s="69"/>
      <c r="M626" s="69"/>
      <c r="N626" s="114"/>
      <c r="O626" s="34"/>
      <c r="P626" s="34"/>
      <c r="Q626" s="2">
        <f t="shared" si="1811"/>
        <v>11</v>
      </c>
      <c r="R626" s="2">
        <f t="shared" si="1807"/>
        <v>-11</v>
      </c>
      <c r="S626" s="2"/>
      <c r="T626" s="2"/>
      <c r="U626" s="9">
        <f t="shared" ref="U626" si="1815">0.098*J627*M627*0.5*R626</f>
        <v>0</v>
      </c>
      <c r="V626" s="9">
        <f t="shared" ref="V626" si="1816">0.098*J627*M627*Q626</f>
        <v>0</v>
      </c>
      <c r="W626" s="8">
        <f t="shared" ref="W626" si="1817">0.098*J627*M627*(S626-T626)</f>
        <v>0</v>
      </c>
      <c r="X626" s="84"/>
      <c r="Y626" s="82"/>
      <c r="Z626" s="125"/>
    </row>
    <row r="627" spans="1:26" x14ac:dyDescent="0.2">
      <c r="A627" s="108"/>
      <c r="B627" s="111"/>
      <c r="C627" s="111"/>
      <c r="D627" s="111"/>
      <c r="E627" s="72"/>
      <c r="F627" s="72"/>
      <c r="G627" s="72"/>
      <c r="H627" s="72"/>
      <c r="I627" s="75"/>
      <c r="J627" s="86">
        <f t="shared" ref="J627" si="1818">(7*F630)/1000</f>
        <v>-0.62078800000000001</v>
      </c>
      <c r="K627" s="89"/>
      <c r="L627" s="92"/>
      <c r="M627" s="92"/>
      <c r="N627" s="114"/>
      <c r="O627" s="34"/>
      <c r="P627" s="34"/>
      <c r="Q627" s="2">
        <f t="shared" si="1811"/>
        <v>9</v>
      </c>
      <c r="R627" s="2">
        <f t="shared" si="1807"/>
        <v>-9</v>
      </c>
      <c r="S627" s="2"/>
      <c r="T627" s="2"/>
      <c r="U627" s="9">
        <f t="shared" ref="U627" si="1819">0.098*J627*M627*0.5*R627</f>
        <v>0</v>
      </c>
      <c r="V627" s="9">
        <f t="shared" ref="V627" si="1820">0.098*J627*M627*Q627</f>
        <v>0</v>
      </c>
      <c r="W627" s="8">
        <f t="shared" ref="W627" si="1821">0.098*J627*M627*(S627-T627)</f>
        <v>0</v>
      </c>
      <c r="X627" s="84"/>
      <c r="Y627" s="82"/>
      <c r="Z627" s="101">
        <f t="shared" ref="Z627" si="1822">_xlfn.STDEV.S(R624:R629)</f>
        <v>3.7416573867739413</v>
      </c>
    </row>
    <row r="628" spans="1:26" x14ac:dyDescent="0.2">
      <c r="A628" s="108"/>
      <c r="B628" s="111"/>
      <c r="C628" s="111"/>
      <c r="D628" s="111"/>
      <c r="E628" s="72"/>
      <c r="F628" s="72"/>
      <c r="G628" s="72"/>
      <c r="H628" s="72"/>
      <c r="I628" s="75"/>
      <c r="J628" s="87"/>
      <c r="K628" s="90"/>
      <c r="L628" s="93"/>
      <c r="M628" s="93"/>
      <c r="N628" s="114"/>
      <c r="O628" s="34"/>
      <c r="P628" s="34"/>
      <c r="Q628" s="2">
        <f t="shared" si="1811"/>
        <v>7</v>
      </c>
      <c r="R628" s="2">
        <f t="shared" si="1807"/>
        <v>-7</v>
      </c>
      <c r="S628" s="2"/>
      <c r="T628" s="2"/>
      <c r="U628" s="9">
        <f t="shared" ref="U628" si="1823">0.098*J627*M627*0.5*R628</f>
        <v>0</v>
      </c>
      <c r="V628" s="9">
        <f t="shared" ref="V628" si="1824">0.098*J627*M627*Q628</f>
        <v>0</v>
      </c>
      <c r="W628" s="8">
        <f t="shared" ref="W628" si="1825">0.098*J627*M627*(S628-T628)</f>
        <v>0</v>
      </c>
      <c r="X628" s="84"/>
      <c r="Y628" s="82"/>
      <c r="Z628" s="101"/>
    </row>
    <row r="629" spans="1:26" ht="17" thickBot="1" x14ac:dyDescent="0.25">
      <c r="A629" s="109"/>
      <c r="B629" s="112"/>
      <c r="C629" s="112"/>
      <c r="D629" s="112"/>
      <c r="E629" s="73"/>
      <c r="F629" s="73"/>
      <c r="G629" s="73"/>
      <c r="H629" s="73"/>
      <c r="I629" s="76"/>
      <c r="J629" s="97"/>
      <c r="K629" s="96"/>
      <c r="L629" s="95"/>
      <c r="M629" s="95"/>
      <c r="N629" s="114"/>
      <c r="O629" s="34"/>
      <c r="P629" s="34"/>
      <c r="Q629" s="2">
        <f t="shared" si="1811"/>
        <v>5</v>
      </c>
      <c r="R629" s="2">
        <f t="shared" si="1807"/>
        <v>-5</v>
      </c>
      <c r="S629" s="2"/>
      <c r="T629" s="2"/>
      <c r="U629" s="9">
        <f t="shared" ref="U629" si="1826">0.098*J627*M627*0.5*R629</f>
        <v>0</v>
      </c>
      <c r="V629" s="9">
        <f t="shared" ref="V629" si="1827">0.098*J627*M627*Q629</f>
        <v>0</v>
      </c>
      <c r="W629" s="8">
        <f t="shared" ref="W629" si="1828">0.098*J627*M627*(S629-T629)</f>
        <v>0</v>
      </c>
      <c r="X629" s="84"/>
      <c r="Y629" s="82"/>
      <c r="Z629" s="101"/>
    </row>
    <row r="630" spans="1:26" x14ac:dyDescent="0.2">
      <c r="A630" s="19">
        <f t="shared" si="1644"/>
        <v>44</v>
      </c>
      <c r="B630" s="3" t="s">
        <v>5</v>
      </c>
      <c r="C630" s="3"/>
      <c r="D630" s="3"/>
      <c r="E630" s="3"/>
      <c r="F630" s="3">
        <f t="shared" ref="F630" si="1829">IF(B630="M", 50 + 0.91*(D630-152.4), IF(B630="F", 45.5 + 0.91*(D630-152.4), ""))</f>
        <v>-88.683999999999997</v>
      </c>
      <c r="G630" s="3"/>
      <c r="H630" s="3" t="e">
        <f t="shared" ref="H630" si="1830">E630/(D630*10^-2)^2</f>
        <v>#DIV/0!</v>
      </c>
      <c r="I630" s="116" t="s">
        <v>15</v>
      </c>
      <c r="J630" s="70" t="s">
        <v>31</v>
      </c>
      <c r="K630" s="70" t="s">
        <v>33</v>
      </c>
      <c r="L630" s="70" t="s">
        <v>17</v>
      </c>
      <c r="M630" s="70" t="s">
        <v>0</v>
      </c>
      <c r="N630" s="114"/>
      <c r="O630" s="4" t="s">
        <v>6</v>
      </c>
      <c r="P630" s="4" t="s">
        <v>34</v>
      </c>
      <c r="Q630" s="6" t="s">
        <v>2</v>
      </c>
      <c r="R630" s="17" t="s">
        <v>1</v>
      </c>
      <c r="S630" s="17" t="s">
        <v>25</v>
      </c>
      <c r="T630" s="17" t="s">
        <v>26</v>
      </c>
      <c r="U630" s="7" t="s">
        <v>21</v>
      </c>
      <c r="V630" s="7" t="s">
        <v>22</v>
      </c>
      <c r="W630" s="7" t="s">
        <v>24</v>
      </c>
      <c r="X630" s="84"/>
      <c r="Y630" s="82"/>
      <c r="Z630" s="125" t="s">
        <v>39</v>
      </c>
    </row>
    <row r="631" spans="1:26" x14ac:dyDescent="0.2">
      <c r="A631" s="98"/>
      <c r="B631" s="99"/>
      <c r="C631" s="99"/>
      <c r="D631" s="99"/>
      <c r="E631" s="99"/>
      <c r="F631" s="99"/>
      <c r="G631" s="99"/>
      <c r="H631" s="100"/>
      <c r="I631" s="75"/>
      <c r="J631" s="68"/>
      <c r="K631" s="68"/>
      <c r="L631" s="68"/>
      <c r="M631" s="68"/>
      <c r="N631" s="114"/>
      <c r="O631" s="34"/>
      <c r="P631" s="34"/>
      <c r="Q631" s="2">
        <v>15</v>
      </c>
      <c r="R631" s="2">
        <f t="shared" ref="R631:R636" si="1831">T631-Q631</f>
        <v>-15</v>
      </c>
      <c r="S631" s="2"/>
      <c r="T631" s="2"/>
      <c r="U631" s="2">
        <f t="shared" ref="U631" si="1832">0.098*J634*M634*0.5*R631</f>
        <v>0</v>
      </c>
      <c r="V631" s="10">
        <f t="shared" ref="V631" si="1833">0.098*J634*M634*Q631</f>
        <v>0</v>
      </c>
      <c r="W631" s="2">
        <f t="shared" ref="W631" si="1834">0.098*J634*M634*(S631-T631)</f>
        <v>0</v>
      </c>
      <c r="X631" s="84"/>
      <c r="Y631" s="82"/>
      <c r="Z631" s="125"/>
    </row>
    <row r="632" spans="1:26" x14ac:dyDescent="0.2">
      <c r="A632" s="101"/>
      <c r="B632" s="102"/>
      <c r="C632" s="102"/>
      <c r="D632" s="102"/>
      <c r="E632" s="102"/>
      <c r="F632" s="102"/>
      <c r="G632" s="102"/>
      <c r="H632" s="103"/>
      <c r="I632" s="75"/>
      <c r="J632" s="68"/>
      <c r="K632" s="68"/>
      <c r="L632" s="68"/>
      <c r="M632" s="68"/>
      <c r="N632" s="114"/>
      <c r="O632" s="34"/>
      <c r="P632" s="34"/>
      <c r="Q632" s="2">
        <f t="shared" ref="Q632:Q636" si="1835">Q631-2</f>
        <v>13</v>
      </c>
      <c r="R632" s="2">
        <f t="shared" si="1831"/>
        <v>-13</v>
      </c>
      <c r="S632" s="2"/>
      <c r="T632" s="2"/>
      <c r="U632" s="2">
        <f t="shared" ref="U632" si="1836">0.098*J634*M634*0.5*R632</f>
        <v>0</v>
      </c>
      <c r="V632" s="10">
        <f t="shared" ref="V632" si="1837">0.098*J634*M634*Q632</f>
        <v>0</v>
      </c>
      <c r="W632" s="2">
        <f t="shared" ref="W632" si="1838">0.098*J634*M634*(S632-T632)</f>
        <v>0</v>
      </c>
      <c r="X632" s="84"/>
      <c r="Y632" s="82"/>
      <c r="Z632" s="125"/>
    </row>
    <row r="633" spans="1:26" x14ac:dyDescent="0.2">
      <c r="A633" s="101"/>
      <c r="B633" s="102"/>
      <c r="C633" s="102"/>
      <c r="D633" s="102"/>
      <c r="E633" s="102"/>
      <c r="F633" s="102"/>
      <c r="G633" s="102"/>
      <c r="H633" s="103"/>
      <c r="I633" s="75"/>
      <c r="J633" s="69"/>
      <c r="K633" s="69"/>
      <c r="L633" s="69"/>
      <c r="M633" s="69"/>
      <c r="N633" s="114"/>
      <c r="O633" s="34"/>
      <c r="P633" s="34"/>
      <c r="Q633" s="2">
        <f t="shared" si="1835"/>
        <v>11</v>
      </c>
      <c r="R633" s="2">
        <f t="shared" si="1831"/>
        <v>-11</v>
      </c>
      <c r="S633" s="2"/>
      <c r="T633" s="2"/>
      <c r="U633" s="2">
        <f t="shared" ref="U633" si="1839">0.098*J634*M634*0.5*R633</f>
        <v>0</v>
      </c>
      <c r="V633" s="10">
        <f t="shared" ref="V633" si="1840">0.098*J634*M634*Q633</f>
        <v>0</v>
      </c>
      <c r="W633" s="2">
        <f t="shared" ref="W633" si="1841">0.098*J634*M634*(S633-T633)</f>
        <v>0</v>
      </c>
      <c r="X633" s="84"/>
      <c r="Y633" s="82"/>
      <c r="Z633" s="125"/>
    </row>
    <row r="634" spans="1:26" x14ac:dyDescent="0.2">
      <c r="A634" s="101"/>
      <c r="B634" s="102"/>
      <c r="C634" s="102"/>
      <c r="D634" s="102"/>
      <c r="E634" s="102"/>
      <c r="F634" s="102"/>
      <c r="G634" s="102"/>
      <c r="H634" s="103"/>
      <c r="I634" s="75"/>
      <c r="J634" s="86">
        <f t="shared" ref="J634" si="1842">(9*F630)/1000</f>
        <v>-0.79815599999999998</v>
      </c>
      <c r="K634" s="89"/>
      <c r="L634" s="92"/>
      <c r="M634" s="92"/>
      <c r="N634" s="114"/>
      <c r="O634" s="34"/>
      <c r="P634" s="34"/>
      <c r="Q634" s="2">
        <f t="shared" si="1835"/>
        <v>9</v>
      </c>
      <c r="R634" s="2">
        <f t="shared" si="1831"/>
        <v>-9</v>
      </c>
      <c r="S634" s="2"/>
      <c r="T634" s="2"/>
      <c r="U634" s="2">
        <f t="shared" ref="U634" si="1843">0.098*J634*M634*0.5*R634</f>
        <v>0</v>
      </c>
      <c r="V634" s="10">
        <f t="shared" ref="V634" si="1844">0.098*J634*M634*Q634</f>
        <v>0</v>
      </c>
      <c r="W634" s="2">
        <f t="shared" ref="W634" si="1845">0.098*J634*M634*(S634-T634)</f>
        <v>0</v>
      </c>
      <c r="X634" s="84"/>
      <c r="Y634" s="82"/>
      <c r="Z634" s="101">
        <f t="shared" ref="Z634" si="1846">_xlfn.STDEV.S(R631:R636)</f>
        <v>3.7416573867739413</v>
      </c>
    </row>
    <row r="635" spans="1:26" x14ac:dyDescent="0.2">
      <c r="A635" s="101"/>
      <c r="B635" s="102"/>
      <c r="C635" s="102"/>
      <c r="D635" s="102"/>
      <c r="E635" s="102"/>
      <c r="F635" s="102"/>
      <c r="G635" s="102"/>
      <c r="H635" s="103"/>
      <c r="I635" s="75"/>
      <c r="J635" s="87"/>
      <c r="K635" s="90"/>
      <c r="L635" s="93"/>
      <c r="M635" s="93"/>
      <c r="N635" s="114"/>
      <c r="O635" s="34"/>
      <c r="P635" s="34"/>
      <c r="Q635" s="2">
        <f t="shared" si="1835"/>
        <v>7</v>
      </c>
      <c r="R635" s="2">
        <f t="shared" si="1831"/>
        <v>-7</v>
      </c>
      <c r="S635" s="2"/>
      <c r="T635" s="2"/>
      <c r="U635" s="2">
        <f t="shared" ref="U635" si="1847">0.098*J634*M634*0.5*R635</f>
        <v>0</v>
      </c>
      <c r="V635" s="10">
        <f t="shared" ref="V635" si="1848">0.098*J634*M634*Q635</f>
        <v>0</v>
      </c>
      <c r="W635" s="2">
        <f t="shared" ref="W635" si="1849">0.098*J634*M634*(S635-T635)</f>
        <v>0</v>
      </c>
      <c r="X635" s="84"/>
      <c r="Y635" s="82"/>
      <c r="Z635" s="101"/>
    </row>
    <row r="636" spans="1:26" ht="17" thickBot="1" x14ac:dyDescent="0.25">
      <c r="A636" s="104"/>
      <c r="B636" s="105"/>
      <c r="C636" s="105"/>
      <c r="D636" s="105"/>
      <c r="E636" s="105"/>
      <c r="F636" s="105"/>
      <c r="G636" s="105"/>
      <c r="H636" s="106"/>
      <c r="I636" s="117"/>
      <c r="J636" s="88"/>
      <c r="K636" s="91"/>
      <c r="L636" s="94"/>
      <c r="M636" s="94"/>
      <c r="N636" s="115"/>
      <c r="O636" s="35"/>
      <c r="P636" s="35"/>
      <c r="Q636" s="20">
        <f t="shared" si="1835"/>
        <v>5</v>
      </c>
      <c r="R636" s="2">
        <f t="shared" si="1831"/>
        <v>-5</v>
      </c>
      <c r="S636" s="20"/>
      <c r="T636" s="20"/>
      <c r="U636" s="20">
        <f t="shared" ref="U636" si="1850">0.098*J634*M634*0.5*R636</f>
        <v>0</v>
      </c>
      <c r="V636" s="21">
        <f t="shared" ref="V636" si="1851">0.098*J634*M634*Q636</f>
        <v>0</v>
      </c>
      <c r="W636" s="20">
        <f t="shared" ref="W636" si="1852">0.098*J634*M634*(S636-T636)</f>
        <v>0</v>
      </c>
      <c r="X636" s="85"/>
      <c r="Y636" s="83"/>
      <c r="Z636" s="101"/>
    </row>
    <row r="637" spans="1:26" x14ac:dyDescent="0.2">
      <c r="A637" s="107" t="s">
        <v>8</v>
      </c>
      <c r="B637" s="110" t="s">
        <v>3</v>
      </c>
      <c r="C637" s="110" t="s">
        <v>7</v>
      </c>
      <c r="D637" s="110" t="s">
        <v>9</v>
      </c>
      <c r="E637" s="71" t="s">
        <v>11</v>
      </c>
      <c r="F637" s="71" t="s">
        <v>10</v>
      </c>
      <c r="G637" s="71" t="s">
        <v>12</v>
      </c>
      <c r="H637" s="71" t="s">
        <v>32</v>
      </c>
      <c r="I637" s="74" t="s">
        <v>14</v>
      </c>
      <c r="J637" s="67" t="s">
        <v>31</v>
      </c>
      <c r="K637" s="67" t="s">
        <v>33</v>
      </c>
      <c r="L637" s="67" t="s">
        <v>17</v>
      </c>
      <c r="M637" s="67" t="s">
        <v>0</v>
      </c>
      <c r="N637" s="113" t="s">
        <v>16</v>
      </c>
      <c r="O637" s="4" t="s">
        <v>6</v>
      </c>
      <c r="P637" s="4" t="s">
        <v>34</v>
      </c>
      <c r="Q637" s="17" t="s">
        <v>2</v>
      </c>
      <c r="R637" s="17" t="s">
        <v>1</v>
      </c>
      <c r="S637" s="17" t="s">
        <v>25</v>
      </c>
      <c r="T637" s="17" t="s">
        <v>26</v>
      </c>
      <c r="U637" s="18" t="s">
        <v>20</v>
      </c>
      <c r="V637" s="18" t="s">
        <v>22</v>
      </c>
      <c r="W637" s="18" t="s">
        <v>24</v>
      </c>
      <c r="X637" s="77" t="s">
        <v>19</v>
      </c>
      <c r="Y637" s="79" t="s">
        <v>23</v>
      </c>
      <c r="Z637" s="125" t="s">
        <v>39</v>
      </c>
    </row>
    <row r="638" spans="1:26" x14ac:dyDescent="0.2">
      <c r="A638" s="108"/>
      <c r="B638" s="111"/>
      <c r="C638" s="111"/>
      <c r="D638" s="111"/>
      <c r="E638" s="72"/>
      <c r="F638" s="72"/>
      <c r="G638" s="72"/>
      <c r="H638" s="72"/>
      <c r="I638" s="75"/>
      <c r="J638" s="68"/>
      <c r="K638" s="68"/>
      <c r="L638" s="68"/>
      <c r="M638" s="68"/>
      <c r="N638" s="114"/>
      <c r="O638" s="34"/>
      <c r="P638" s="34"/>
      <c r="Q638" s="2">
        <v>15</v>
      </c>
      <c r="R638" s="2">
        <f t="shared" ref="R638:R643" si="1853">T638-Q638</f>
        <v>-15</v>
      </c>
      <c r="S638" s="2"/>
      <c r="T638" s="2"/>
      <c r="U638" s="9">
        <f t="shared" ref="U638" si="1854">0.098*J641*M641*0.5*R638</f>
        <v>0</v>
      </c>
      <c r="V638" s="9">
        <f t="shared" ref="V638" si="1855">0.098*J641*M641*Q638</f>
        <v>0</v>
      </c>
      <c r="W638" s="8">
        <f t="shared" ref="W638" si="1856">0.098*J641*M641*(S638-T638)</f>
        <v>0</v>
      </c>
      <c r="X638" s="78"/>
      <c r="Y638" s="80"/>
      <c r="Z638" s="125"/>
    </row>
    <row r="639" spans="1:26" x14ac:dyDescent="0.2">
      <c r="A639" s="108"/>
      <c r="B639" s="111"/>
      <c r="C639" s="111"/>
      <c r="D639" s="111"/>
      <c r="E639" s="72"/>
      <c r="F639" s="72"/>
      <c r="G639" s="72"/>
      <c r="H639" s="72"/>
      <c r="I639" s="75"/>
      <c r="J639" s="68"/>
      <c r="K639" s="68"/>
      <c r="L639" s="68"/>
      <c r="M639" s="68"/>
      <c r="N639" s="114"/>
      <c r="O639" s="34"/>
      <c r="P639" s="34"/>
      <c r="Q639" s="2">
        <f t="shared" ref="Q639:Q643" si="1857">Q638-2</f>
        <v>13</v>
      </c>
      <c r="R639" s="2">
        <f t="shared" si="1853"/>
        <v>-13</v>
      </c>
      <c r="S639" s="2"/>
      <c r="T639" s="2"/>
      <c r="U639" s="9">
        <f t="shared" ref="U639" si="1858">0.098*J641*M641*0.5*R639</f>
        <v>0</v>
      </c>
      <c r="V639" s="9">
        <f t="shared" ref="V639" si="1859">0.098*J641*M641*Q639</f>
        <v>0</v>
      </c>
      <c r="W639" s="8">
        <f t="shared" ref="W639" si="1860">0.098*J641*M641*(S639-T639)</f>
        <v>0</v>
      </c>
      <c r="X639" s="23"/>
      <c r="Y639" s="81"/>
      <c r="Z639" s="125"/>
    </row>
    <row r="640" spans="1:26" x14ac:dyDescent="0.2">
      <c r="A640" s="108"/>
      <c r="B640" s="111"/>
      <c r="C640" s="111"/>
      <c r="D640" s="111"/>
      <c r="E640" s="72"/>
      <c r="F640" s="72"/>
      <c r="G640" s="72"/>
      <c r="H640" s="72"/>
      <c r="I640" s="75"/>
      <c r="J640" s="69"/>
      <c r="K640" s="69"/>
      <c r="L640" s="69"/>
      <c r="M640" s="69"/>
      <c r="N640" s="114"/>
      <c r="O640" s="34"/>
      <c r="P640" s="34"/>
      <c r="Q640" s="2">
        <f t="shared" si="1857"/>
        <v>11</v>
      </c>
      <c r="R640" s="2">
        <f t="shared" si="1853"/>
        <v>-11</v>
      </c>
      <c r="S640" s="2"/>
      <c r="T640" s="2"/>
      <c r="U640" s="9">
        <f t="shared" ref="U640" si="1861">0.098*J641*M641*0.5*R640</f>
        <v>0</v>
      </c>
      <c r="V640" s="9">
        <f t="shared" ref="V640" si="1862">0.098*J641*M641*Q640</f>
        <v>0</v>
      </c>
      <c r="W640" s="8">
        <f t="shared" ref="W640" si="1863">0.098*J641*M641*(S640-T640)</f>
        <v>0</v>
      </c>
      <c r="X640" s="84"/>
      <c r="Y640" s="82"/>
      <c r="Z640" s="125"/>
    </row>
    <row r="641" spans="1:26" x14ac:dyDescent="0.2">
      <c r="A641" s="108"/>
      <c r="B641" s="111"/>
      <c r="C641" s="111"/>
      <c r="D641" s="111"/>
      <c r="E641" s="72"/>
      <c r="F641" s="72"/>
      <c r="G641" s="72"/>
      <c r="H641" s="72"/>
      <c r="I641" s="75"/>
      <c r="J641" s="86">
        <f t="shared" ref="J641" si="1864">(7*F644)/1000</f>
        <v>-0.62078800000000001</v>
      </c>
      <c r="K641" s="89"/>
      <c r="L641" s="92"/>
      <c r="M641" s="92"/>
      <c r="N641" s="114"/>
      <c r="O641" s="34"/>
      <c r="P641" s="34"/>
      <c r="Q641" s="2">
        <f t="shared" si="1857"/>
        <v>9</v>
      </c>
      <c r="R641" s="2">
        <f t="shared" si="1853"/>
        <v>-9</v>
      </c>
      <c r="S641" s="2"/>
      <c r="T641" s="2"/>
      <c r="U641" s="9">
        <f t="shared" ref="U641" si="1865">0.098*J641*M641*0.5*R641</f>
        <v>0</v>
      </c>
      <c r="V641" s="9">
        <f t="shared" ref="V641" si="1866">0.098*J641*M641*Q641</f>
        <v>0</v>
      </c>
      <c r="W641" s="8">
        <f t="shared" ref="W641" si="1867">0.098*J641*M641*(S641-T641)</f>
        <v>0</v>
      </c>
      <c r="X641" s="84"/>
      <c r="Y641" s="82"/>
      <c r="Z641" s="101">
        <f t="shared" ref="Z641" si="1868">_xlfn.STDEV.S(R638:R643)</f>
        <v>3.7416573867739413</v>
      </c>
    </row>
    <row r="642" spans="1:26" x14ac:dyDescent="0.2">
      <c r="A642" s="108"/>
      <c r="B642" s="111"/>
      <c r="C642" s="111"/>
      <c r="D642" s="111"/>
      <c r="E642" s="72"/>
      <c r="F642" s="72"/>
      <c r="G642" s="72"/>
      <c r="H642" s="72"/>
      <c r="I642" s="75"/>
      <c r="J642" s="87"/>
      <c r="K642" s="90"/>
      <c r="L642" s="93"/>
      <c r="M642" s="93"/>
      <c r="N642" s="114"/>
      <c r="O642" s="34"/>
      <c r="P642" s="34"/>
      <c r="Q642" s="2">
        <f t="shared" si="1857"/>
        <v>7</v>
      </c>
      <c r="R642" s="2">
        <f t="shared" si="1853"/>
        <v>-7</v>
      </c>
      <c r="S642" s="2"/>
      <c r="T642" s="2"/>
      <c r="U642" s="9">
        <f t="shared" ref="U642" si="1869">0.098*J641*M641*0.5*R642</f>
        <v>0</v>
      </c>
      <c r="V642" s="9">
        <f t="shared" ref="V642" si="1870">0.098*J641*M641*Q642</f>
        <v>0</v>
      </c>
      <c r="W642" s="8">
        <f t="shared" ref="W642" si="1871">0.098*J641*M641*(S642-T642)</f>
        <v>0</v>
      </c>
      <c r="X642" s="84"/>
      <c r="Y642" s="82"/>
      <c r="Z642" s="101"/>
    </row>
    <row r="643" spans="1:26" ht="17" thickBot="1" x14ac:dyDescent="0.25">
      <c r="A643" s="109"/>
      <c r="B643" s="112"/>
      <c r="C643" s="112"/>
      <c r="D643" s="112"/>
      <c r="E643" s="73"/>
      <c r="F643" s="73"/>
      <c r="G643" s="73"/>
      <c r="H643" s="73"/>
      <c r="I643" s="76"/>
      <c r="J643" s="97"/>
      <c r="K643" s="96"/>
      <c r="L643" s="95"/>
      <c r="M643" s="95"/>
      <c r="N643" s="114"/>
      <c r="O643" s="34"/>
      <c r="P643" s="34"/>
      <c r="Q643" s="2">
        <f t="shared" si="1857"/>
        <v>5</v>
      </c>
      <c r="R643" s="2">
        <f t="shared" si="1853"/>
        <v>-5</v>
      </c>
      <c r="S643" s="2"/>
      <c r="T643" s="2"/>
      <c r="U643" s="9">
        <f t="shared" ref="U643" si="1872">0.098*J641*M641*0.5*R643</f>
        <v>0</v>
      </c>
      <c r="V643" s="9">
        <f t="shared" ref="V643" si="1873">0.098*J641*M641*Q643</f>
        <v>0</v>
      </c>
      <c r="W643" s="8">
        <f t="shared" ref="W643" si="1874">0.098*J641*M641*(S643-T643)</f>
        <v>0</v>
      </c>
      <c r="X643" s="84"/>
      <c r="Y643" s="82"/>
      <c r="Z643" s="101"/>
    </row>
    <row r="644" spans="1:26" x14ac:dyDescent="0.2">
      <c r="A644" s="19">
        <f t="shared" ref="A644:A686" si="1875">A630+1</f>
        <v>45</v>
      </c>
      <c r="B644" s="3" t="s">
        <v>5</v>
      </c>
      <c r="C644" s="3"/>
      <c r="D644" s="3"/>
      <c r="E644" s="3"/>
      <c r="F644" s="3">
        <f t="shared" ref="F644" si="1876">IF(B644="M", 50 + 0.91*(D644-152.4), IF(B644="F", 45.5 + 0.91*(D644-152.4), ""))</f>
        <v>-88.683999999999997</v>
      </c>
      <c r="G644" s="3"/>
      <c r="H644" s="3" t="e">
        <f t="shared" ref="H644" si="1877">E644/(D644*10^-2)^2</f>
        <v>#DIV/0!</v>
      </c>
      <c r="I644" s="116" t="s">
        <v>15</v>
      </c>
      <c r="J644" s="70" t="s">
        <v>31</v>
      </c>
      <c r="K644" s="70" t="s">
        <v>33</v>
      </c>
      <c r="L644" s="70" t="s">
        <v>17</v>
      </c>
      <c r="M644" s="70" t="s">
        <v>0</v>
      </c>
      <c r="N644" s="114"/>
      <c r="O644" s="4" t="s">
        <v>6</v>
      </c>
      <c r="P644" s="4" t="s">
        <v>34</v>
      </c>
      <c r="Q644" s="6" t="s">
        <v>2</v>
      </c>
      <c r="R644" s="17" t="s">
        <v>1</v>
      </c>
      <c r="S644" s="17" t="s">
        <v>25</v>
      </c>
      <c r="T644" s="17" t="s">
        <v>26</v>
      </c>
      <c r="U644" s="7" t="s">
        <v>21</v>
      </c>
      <c r="V644" s="7" t="s">
        <v>22</v>
      </c>
      <c r="W644" s="7" t="s">
        <v>24</v>
      </c>
      <c r="X644" s="84"/>
      <c r="Y644" s="82"/>
      <c r="Z644" s="125" t="s">
        <v>39</v>
      </c>
    </row>
    <row r="645" spans="1:26" x14ac:dyDescent="0.2">
      <c r="A645" s="98"/>
      <c r="B645" s="99"/>
      <c r="C645" s="99"/>
      <c r="D645" s="99"/>
      <c r="E645" s="99"/>
      <c r="F645" s="99"/>
      <c r="G645" s="99"/>
      <c r="H645" s="100"/>
      <c r="I645" s="75"/>
      <c r="J645" s="68"/>
      <c r="K645" s="68"/>
      <c r="L645" s="68"/>
      <c r="M645" s="68"/>
      <c r="N645" s="114"/>
      <c r="O645" s="34"/>
      <c r="P645" s="34"/>
      <c r="Q645" s="2">
        <v>15</v>
      </c>
      <c r="R645" s="2">
        <f t="shared" ref="R645:R650" si="1878">T645-Q645</f>
        <v>-15</v>
      </c>
      <c r="S645" s="2"/>
      <c r="T645" s="2"/>
      <c r="U645" s="2">
        <f t="shared" ref="U645" si="1879">0.098*J648*M648*0.5*R645</f>
        <v>0</v>
      </c>
      <c r="V645" s="10">
        <f t="shared" ref="V645" si="1880">0.098*J648*M648*Q645</f>
        <v>0</v>
      </c>
      <c r="W645" s="2">
        <f t="shared" ref="W645" si="1881">0.098*J648*M648*(S645-T645)</f>
        <v>0</v>
      </c>
      <c r="X645" s="84"/>
      <c r="Y645" s="82"/>
      <c r="Z645" s="125"/>
    </row>
    <row r="646" spans="1:26" x14ac:dyDescent="0.2">
      <c r="A646" s="101"/>
      <c r="B646" s="102"/>
      <c r="C646" s="102"/>
      <c r="D646" s="102"/>
      <c r="E646" s="102"/>
      <c r="F646" s="102"/>
      <c r="G646" s="102"/>
      <c r="H646" s="103"/>
      <c r="I646" s="75"/>
      <c r="J646" s="68"/>
      <c r="K646" s="68"/>
      <c r="L646" s="68"/>
      <c r="M646" s="68"/>
      <c r="N646" s="114"/>
      <c r="O646" s="34"/>
      <c r="P646" s="34"/>
      <c r="Q646" s="2">
        <f t="shared" ref="Q646:Q650" si="1882">Q645-2</f>
        <v>13</v>
      </c>
      <c r="R646" s="2">
        <f t="shared" si="1878"/>
        <v>-13</v>
      </c>
      <c r="S646" s="2"/>
      <c r="T646" s="2"/>
      <c r="U646" s="2">
        <f t="shared" ref="U646" si="1883">0.098*J648*M648*0.5*R646</f>
        <v>0</v>
      </c>
      <c r="V646" s="10">
        <f t="shared" ref="V646" si="1884">0.098*J648*M648*Q646</f>
        <v>0</v>
      </c>
      <c r="W646" s="2">
        <f t="shared" ref="W646" si="1885">0.098*J648*M648*(S646-T646)</f>
        <v>0</v>
      </c>
      <c r="X646" s="84"/>
      <c r="Y646" s="82"/>
      <c r="Z646" s="125"/>
    </row>
    <row r="647" spans="1:26" x14ac:dyDescent="0.2">
      <c r="A647" s="101"/>
      <c r="B647" s="102"/>
      <c r="C647" s="102"/>
      <c r="D647" s="102"/>
      <c r="E647" s="102"/>
      <c r="F647" s="102"/>
      <c r="G647" s="102"/>
      <c r="H647" s="103"/>
      <c r="I647" s="75"/>
      <c r="J647" s="69"/>
      <c r="K647" s="69"/>
      <c r="L647" s="69"/>
      <c r="M647" s="69"/>
      <c r="N647" s="114"/>
      <c r="O647" s="34"/>
      <c r="P647" s="34"/>
      <c r="Q647" s="2">
        <f t="shared" si="1882"/>
        <v>11</v>
      </c>
      <c r="R647" s="2">
        <f t="shared" si="1878"/>
        <v>-11</v>
      </c>
      <c r="S647" s="2"/>
      <c r="T647" s="2"/>
      <c r="U647" s="2">
        <f t="shared" ref="U647" si="1886">0.098*J648*M648*0.5*R647</f>
        <v>0</v>
      </c>
      <c r="V647" s="10">
        <f t="shared" ref="V647" si="1887">0.098*J648*M648*Q647</f>
        <v>0</v>
      </c>
      <c r="W647" s="2">
        <f t="shared" ref="W647" si="1888">0.098*J648*M648*(S647-T647)</f>
        <v>0</v>
      </c>
      <c r="X647" s="84"/>
      <c r="Y647" s="82"/>
      <c r="Z647" s="125"/>
    </row>
    <row r="648" spans="1:26" x14ac:dyDescent="0.2">
      <c r="A648" s="101"/>
      <c r="B648" s="102"/>
      <c r="C648" s="102"/>
      <c r="D648" s="102"/>
      <c r="E648" s="102"/>
      <c r="F648" s="102"/>
      <c r="G648" s="102"/>
      <c r="H648" s="103"/>
      <c r="I648" s="75"/>
      <c r="J648" s="86">
        <f t="shared" ref="J648" si="1889">(9*F644)/1000</f>
        <v>-0.79815599999999998</v>
      </c>
      <c r="K648" s="89"/>
      <c r="L648" s="92"/>
      <c r="M648" s="92"/>
      <c r="N648" s="114"/>
      <c r="O648" s="34"/>
      <c r="P648" s="34"/>
      <c r="Q648" s="2">
        <f t="shared" si="1882"/>
        <v>9</v>
      </c>
      <c r="R648" s="2">
        <f t="shared" si="1878"/>
        <v>-9</v>
      </c>
      <c r="S648" s="2"/>
      <c r="T648" s="2"/>
      <c r="U648" s="2">
        <f t="shared" ref="U648" si="1890">0.098*J648*M648*0.5*R648</f>
        <v>0</v>
      </c>
      <c r="V648" s="10">
        <f t="shared" ref="V648" si="1891">0.098*J648*M648*Q648</f>
        <v>0</v>
      </c>
      <c r="W648" s="2">
        <f t="shared" ref="W648" si="1892">0.098*J648*M648*(S648-T648)</f>
        <v>0</v>
      </c>
      <c r="X648" s="84"/>
      <c r="Y648" s="82"/>
      <c r="Z648" s="101">
        <f t="shared" ref="Z648" si="1893">_xlfn.STDEV.S(R645:R650)</f>
        <v>3.7416573867739413</v>
      </c>
    </row>
    <row r="649" spans="1:26" x14ac:dyDescent="0.2">
      <c r="A649" s="101"/>
      <c r="B649" s="102"/>
      <c r="C649" s="102"/>
      <c r="D649" s="102"/>
      <c r="E649" s="102"/>
      <c r="F649" s="102"/>
      <c r="G649" s="102"/>
      <c r="H649" s="103"/>
      <c r="I649" s="75"/>
      <c r="J649" s="87"/>
      <c r="K649" s="90"/>
      <c r="L649" s="93"/>
      <c r="M649" s="93"/>
      <c r="N649" s="114"/>
      <c r="O649" s="34"/>
      <c r="P649" s="34"/>
      <c r="Q649" s="2">
        <f t="shared" si="1882"/>
        <v>7</v>
      </c>
      <c r="R649" s="2">
        <f t="shared" si="1878"/>
        <v>-7</v>
      </c>
      <c r="S649" s="2"/>
      <c r="T649" s="2"/>
      <c r="U649" s="2">
        <f t="shared" ref="U649" si="1894">0.098*J648*M648*0.5*R649</f>
        <v>0</v>
      </c>
      <c r="V649" s="10">
        <f t="shared" ref="V649" si="1895">0.098*J648*M648*Q649</f>
        <v>0</v>
      </c>
      <c r="W649" s="2">
        <f t="shared" ref="W649" si="1896">0.098*J648*M648*(S649-T649)</f>
        <v>0</v>
      </c>
      <c r="X649" s="84"/>
      <c r="Y649" s="82"/>
      <c r="Z649" s="101"/>
    </row>
    <row r="650" spans="1:26" ht="17" thickBot="1" x14ac:dyDescent="0.25">
      <c r="A650" s="104"/>
      <c r="B650" s="105"/>
      <c r="C650" s="105"/>
      <c r="D650" s="105"/>
      <c r="E650" s="105"/>
      <c r="F650" s="105"/>
      <c r="G650" s="105"/>
      <c r="H650" s="106"/>
      <c r="I650" s="117"/>
      <c r="J650" s="88"/>
      <c r="K650" s="91"/>
      <c r="L650" s="94"/>
      <c r="M650" s="94"/>
      <c r="N650" s="115"/>
      <c r="O650" s="35"/>
      <c r="P650" s="35"/>
      <c r="Q650" s="20">
        <f t="shared" si="1882"/>
        <v>5</v>
      </c>
      <c r="R650" s="2">
        <f t="shared" si="1878"/>
        <v>-5</v>
      </c>
      <c r="S650" s="20"/>
      <c r="T650" s="20"/>
      <c r="U650" s="20">
        <f t="shared" ref="U650" si="1897">0.098*J648*M648*0.5*R650</f>
        <v>0</v>
      </c>
      <c r="V650" s="21">
        <f t="shared" ref="V650" si="1898">0.098*J648*M648*Q650</f>
        <v>0</v>
      </c>
      <c r="W650" s="20">
        <f t="shared" ref="W650" si="1899">0.098*J648*M648*(S650-T650)</f>
        <v>0</v>
      </c>
      <c r="X650" s="85"/>
      <c r="Y650" s="83"/>
      <c r="Z650" s="101"/>
    </row>
    <row r="651" spans="1:26" x14ac:dyDescent="0.2">
      <c r="A651" s="107" t="s">
        <v>8</v>
      </c>
      <c r="B651" s="110" t="s">
        <v>3</v>
      </c>
      <c r="C651" s="110" t="s">
        <v>7</v>
      </c>
      <c r="D651" s="110" t="s">
        <v>9</v>
      </c>
      <c r="E651" s="71" t="s">
        <v>11</v>
      </c>
      <c r="F651" s="71" t="s">
        <v>10</v>
      </c>
      <c r="G651" s="71" t="s">
        <v>12</v>
      </c>
      <c r="H651" s="71" t="s">
        <v>32</v>
      </c>
      <c r="I651" s="74" t="s">
        <v>14</v>
      </c>
      <c r="J651" s="67" t="s">
        <v>31</v>
      </c>
      <c r="K651" s="67" t="s">
        <v>33</v>
      </c>
      <c r="L651" s="67" t="s">
        <v>17</v>
      </c>
      <c r="M651" s="67" t="s">
        <v>0</v>
      </c>
      <c r="N651" s="113" t="s">
        <v>16</v>
      </c>
      <c r="O651" s="4" t="s">
        <v>6</v>
      </c>
      <c r="P651" s="4" t="s">
        <v>34</v>
      </c>
      <c r="Q651" s="17" t="s">
        <v>2</v>
      </c>
      <c r="R651" s="17" t="s">
        <v>1</v>
      </c>
      <c r="S651" s="17" t="s">
        <v>25</v>
      </c>
      <c r="T651" s="17" t="s">
        <v>26</v>
      </c>
      <c r="U651" s="18" t="s">
        <v>20</v>
      </c>
      <c r="V651" s="18" t="s">
        <v>22</v>
      </c>
      <c r="W651" s="18" t="s">
        <v>24</v>
      </c>
      <c r="X651" s="77" t="s">
        <v>19</v>
      </c>
      <c r="Y651" s="79" t="s">
        <v>23</v>
      </c>
      <c r="Z651" s="125" t="s">
        <v>39</v>
      </c>
    </row>
    <row r="652" spans="1:26" x14ac:dyDescent="0.2">
      <c r="A652" s="108"/>
      <c r="B652" s="111"/>
      <c r="C652" s="111"/>
      <c r="D652" s="111"/>
      <c r="E652" s="72"/>
      <c r="F652" s="72"/>
      <c r="G652" s="72"/>
      <c r="H652" s="72"/>
      <c r="I652" s="75"/>
      <c r="J652" s="68"/>
      <c r="K652" s="68"/>
      <c r="L652" s="68"/>
      <c r="M652" s="68"/>
      <c r="N652" s="114"/>
      <c r="O652" s="34"/>
      <c r="P652" s="34"/>
      <c r="Q652" s="2">
        <v>15</v>
      </c>
      <c r="R652" s="2">
        <f t="shared" ref="R652:R657" si="1900">T652-Q652</f>
        <v>-15</v>
      </c>
      <c r="S652" s="2"/>
      <c r="T652" s="2"/>
      <c r="U652" s="9">
        <f t="shared" ref="U652" si="1901">0.098*J655*M655*0.5*R652</f>
        <v>0</v>
      </c>
      <c r="V652" s="9">
        <f t="shared" ref="V652" si="1902">0.098*J655*M655*Q652</f>
        <v>0</v>
      </c>
      <c r="W652" s="8">
        <f t="shared" ref="W652" si="1903">0.098*J655*M655*(S652-T652)</f>
        <v>0</v>
      </c>
      <c r="X652" s="78"/>
      <c r="Y652" s="80"/>
      <c r="Z652" s="125"/>
    </row>
    <row r="653" spans="1:26" x14ac:dyDescent="0.2">
      <c r="A653" s="108"/>
      <c r="B653" s="111"/>
      <c r="C653" s="111"/>
      <c r="D653" s="111"/>
      <c r="E653" s="72"/>
      <c r="F653" s="72"/>
      <c r="G653" s="72"/>
      <c r="H653" s="72"/>
      <c r="I653" s="75"/>
      <c r="J653" s="68"/>
      <c r="K653" s="68"/>
      <c r="L653" s="68"/>
      <c r="M653" s="68"/>
      <c r="N653" s="114"/>
      <c r="O653" s="34"/>
      <c r="P653" s="34"/>
      <c r="Q653" s="2">
        <f t="shared" ref="Q653:Q657" si="1904">Q652-2</f>
        <v>13</v>
      </c>
      <c r="R653" s="2">
        <f t="shared" si="1900"/>
        <v>-13</v>
      </c>
      <c r="S653" s="2"/>
      <c r="T653" s="2"/>
      <c r="U653" s="9">
        <f t="shared" ref="U653" si="1905">0.098*J655*M655*0.5*R653</f>
        <v>0</v>
      </c>
      <c r="V653" s="9">
        <f t="shared" ref="V653" si="1906">0.098*J655*M655*Q653</f>
        <v>0</v>
      </c>
      <c r="W653" s="8">
        <f t="shared" ref="W653" si="1907">0.098*J655*M655*(S653-T653)</f>
        <v>0</v>
      </c>
      <c r="X653" s="23"/>
      <c r="Y653" s="81"/>
      <c r="Z653" s="125"/>
    </row>
    <row r="654" spans="1:26" x14ac:dyDescent="0.2">
      <c r="A654" s="108"/>
      <c r="B654" s="111"/>
      <c r="C654" s="111"/>
      <c r="D654" s="111"/>
      <c r="E654" s="72"/>
      <c r="F654" s="72"/>
      <c r="G654" s="72"/>
      <c r="H654" s="72"/>
      <c r="I654" s="75"/>
      <c r="J654" s="69"/>
      <c r="K654" s="69"/>
      <c r="L654" s="69"/>
      <c r="M654" s="69"/>
      <c r="N654" s="114"/>
      <c r="O654" s="34"/>
      <c r="P654" s="34"/>
      <c r="Q654" s="2">
        <f t="shared" si="1904"/>
        <v>11</v>
      </c>
      <c r="R654" s="2">
        <f t="shared" si="1900"/>
        <v>-11</v>
      </c>
      <c r="S654" s="2"/>
      <c r="T654" s="2"/>
      <c r="U654" s="9">
        <f t="shared" ref="U654" si="1908">0.098*J655*M655*0.5*R654</f>
        <v>0</v>
      </c>
      <c r="V654" s="9">
        <f t="shared" ref="V654" si="1909">0.098*J655*M655*Q654</f>
        <v>0</v>
      </c>
      <c r="W654" s="8">
        <f t="shared" ref="W654" si="1910">0.098*J655*M655*(S654-T654)</f>
        <v>0</v>
      </c>
      <c r="X654" s="84"/>
      <c r="Y654" s="82"/>
      <c r="Z654" s="125"/>
    </row>
    <row r="655" spans="1:26" x14ac:dyDescent="0.2">
      <c r="A655" s="108"/>
      <c r="B655" s="111"/>
      <c r="C655" s="111"/>
      <c r="D655" s="111"/>
      <c r="E655" s="72"/>
      <c r="F655" s="72"/>
      <c r="G655" s="72"/>
      <c r="H655" s="72"/>
      <c r="I655" s="75"/>
      <c r="J655" s="86">
        <f t="shared" ref="J655" si="1911">(7*F658)/1000</f>
        <v>-0.62078800000000001</v>
      </c>
      <c r="K655" s="89"/>
      <c r="L655" s="92"/>
      <c r="M655" s="92"/>
      <c r="N655" s="114"/>
      <c r="O655" s="34"/>
      <c r="P655" s="34"/>
      <c r="Q655" s="2">
        <f t="shared" si="1904"/>
        <v>9</v>
      </c>
      <c r="R655" s="2">
        <f t="shared" si="1900"/>
        <v>-9</v>
      </c>
      <c r="S655" s="2"/>
      <c r="T655" s="2"/>
      <c r="U655" s="9">
        <f t="shared" ref="U655" si="1912">0.098*J655*M655*0.5*R655</f>
        <v>0</v>
      </c>
      <c r="V655" s="9">
        <f t="shared" ref="V655" si="1913">0.098*J655*M655*Q655</f>
        <v>0</v>
      </c>
      <c r="W655" s="8">
        <f t="shared" ref="W655" si="1914">0.098*J655*M655*(S655-T655)</f>
        <v>0</v>
      </c>
      <c r="X655" s="84"/>
      <c r="Y655" s="82"/>
      <c r="Z655" s="101">
        <f t="shared" ref="Z655" si="1915">_xlfn.STDEV.S(R652:R657)</f>
        <v>3.7416573867739413</v>
      </c>
    </row>
    <row r="656" spans="1:26" x14ac:dyDescent="0.2">
      <c r="A656" s="108"/>
      <c r="B656" s="111"/>
      <c r="C656" s="111"/>
      <c r="D656" s="111"/>
      <c r="E656" s="72"/>
      <c r="F656" s="72"/>
      <c r="G656" s="72"/>
      <c r="H656" s="72"/>
      <c r="I656" s="75"/>
      <c r="J656" s="87"/>
      <c r="K656" s="90"/>
      <c r="L656" s="93"/>
      <c r="M656" s="93"/>
      <c r="N656" s="114"/>
      <c r="O656" s="34"/>
      <c r="P656" s="34"/>
      <c r="Q656" s="2">
        <f t="shared" si="1904"/>
        <v>7</v>
      </c>
      <c r="R656" s="2">
        <f t="shared" si="1900"/>
        <v>-7</v>
      </c>
      <c r="S656" s="2"/>
      <c r="T656" s="2"/>
      <c r="U656" s="9">
        <f t="shared" ref="U656" si="1916">0.098*J655*M655*0.5*R656</f>
        <v>0</v>
      </c>
      <c r="V656" s="9">
        <f t="shared" ref="V656" si="1917">0.098*J655*M655*Q656</f>
        <v>0</v>
      </c>
      <c r="W656" s="8">
        <f t="shared" ref="W656" si="1918">0.098*J655*M655*(S656-T656)</f>
        <v>0</v>
      </c>
      <c r="X656" s="84"/>
      <c r="Y656" s="82"/>
      <c r="Z656" s="101"/>
    </row>
    <row r="657" spans="1:26" ht="17" thickBot="1" x14ac:dyDescent="0.25">
      <c r="A657" s="109"/>
      <c r="B657" s="112"/>
      <c r="C657" s="112"/>
      <c r="D657" s="112"/>
      <c r="E657" s="73"/>
      <c r="F657" s="73"/>
      <c r="G657" s="73"/>
      <c r="H657" s="73"/>
      <c r="I657" s="76"/>
      <c r="J657" s="97"/>
      <c r="K657" s="96"/>
      <c r="L657" s="95"/>
      <c r="M657" s="95"/>
      <c r="N657" s="114"/>
      <c r="O657" s="34"/>
      <c r="P657" s="34"/>
      <c r="Q657" s="2">
        <f t="shared" si="1904"/>
        <v>5</v>
      </c>
      <c r="R657" s="2">
        <f t="shared" si="1900"/>
        <v>-5</v>
      </c>
      <c r="S657" s="2"/>
      <c r="T657" s="2"/>
      <c r="U657" s="9">
        <f t="shared" ref="U657" si="1919">0.098*J655*M655*0.5*R657</f>
        <v>0</v>
      </c>
      <c r="V657" s="9">
        <f t="shared" ref="V657" si="1920">0.098*J655*M655*Q657</f>
        <v>0</v>
      </c>
      <c r="W657" s="8">
        <f t="shared" ref="W657" si="1921">0.098*J655*M655*(S657-T657)</f>
        <v>0</v>
      </c>
      <c r="X657" s="84"/>
      <c r="Y657" s="82"/>
      <c r="Z657" s="101"/>
    </row>
    <row r="658" spans="1:26" x14ac:dyDescent="0.2">
      <c r="A658" s="19">
        <f t="shared" si="1875"/>
        <v>46</v>
      </c>
      <c r="B658" s="3" t="s">
        <v>5</v>
      </c>
      <c r="C658" s="3"/>
      <c r="D658" s="3"/>
      <c r="E658" s="3"/>
      <c r="F658" s="3">
        <f t="shared" ref="F658" si="1922">IF(B658="M", 50 + 0.91*(D658-152.4), IF(B658="F", 45.5 + 0.91*(D658-152.4), ""))</f>
        <v>-88.683999999999997</v>
      </c>
      <c r="G658" s="3"/>
      <c r="H658" s="3" t="e">
        <f t="shared" ref="H658" si="1923">E658/(D658*10^-2)^2</f>
        <v>#DIV/0!</v>
      </c>
      <c r="I658" s="116" t="s">
        <v>15</v>
      </c>
      <c r="J658" s="70" t="s">
        <v>31</v>
      </c>
      <c r="K658" s="70" t="s">
        <v>33</v>
      </c>
      <c r="L658" s="70" t="s">
        <v>17</v>
      </c>
      <c r="M658" s="70" t="s">
        <v>0</v>
      </c>
      <c r="N658" s="114"/>
      <c r="O658" s="4" t="s">
        <v>6</v>
      </c>
      <c r="P658" s="4" t="s">
        <v>34</v>
      </c>
      <c r="Q658" s="6" t="s">
        <v>2</v>
      </c>
      <c r="R658" s="17" t="s">
        <v>1</v>
      </c>
      <c r="S658" s="17" t="s">
        <v>25</v>
      </c>
      <c r="T658" s="17" t="s">
        <v>26</v>
      </c>
      <c r="U658" s="7" t="s">
        <v>21</v>
      </c>
      <c r="V658" s="7" t="s">
        <v>22</v>
      </c>
      <c r="W658" s="7" t="s">
        <v>24</v>
      </c>
      <c r="X658" s="84"/>
      <c r="Y658" s="82"/>
      <c r="Z658" s="125" t="s">
        <v>39</v>
      </c>
    </row>
    <row r="659" spans="1:26" x14ac:dyDescent="0.2">
      <c r="A659" s="98"/>
      <c r="B659" s="99"/>
      <c r="C659" s="99"/>
      <c r="D659" s="99"/>
      <c r="E659" s="99"/>
      <c r="F659" s="99"/>
      <c r="G659" s="99"/>
      <c r="H659" s="100"/>
      <c r="I659" s="75"/>
      <c r="J659" s="68"/>
      <c r="K659" s="68"/>
      <c r="L659" s="68"/>
      <c r="M659" s="68"/>
      <c r="N659" s="114"/>
      <c r="O659" s="34"/>
      <c r="P659" s="34"/>
      <c r="Q659" s="2">
        <v>15</v>
      </c>
      <c r="R659" s="2">
        <f t="shared" ref="R659:R664" si="1924">T659-Q659</f>
        <v>-15</v>
      </c>
      <c r="S659" s="2"/>
      <c r="T659" s="2"/>
      <c r="U659" s="2">
        <f t="shared" ref="U659" si="1925">0.098*J662*M662*0.5*R659</f>
        <v>0</v>
      </c>
      <c r="V659" s="10">
        <f t="shared" ref="V659" si="1926">0.098*J662*M662*Q659</f>
        <v>0</v>
      </c>
      <c r="W659" s="2">
        <f t="shared" ref="W659" si="1927">0.098*J662*M662*(S659-T659)</f>
        <v>0</v>
      </c>
      <c r="X659" s="84"/>
      <c r="Y659" s="82"/>
      <c r="Z659" s="125"/>
    </row>
    <row r="660" spans="1:26" x14ac:dyDescent="0.2">
      <c r="A660" s="101"/>
      <c r="B660" s="102"/>
      <c r="C660" s="102"/>
      <c r="D660" s="102"/>
      <c r="E660" s="102"/>
      <c r="F660" s="102"/>
      <c r="G660" s="102"/>
      <c r="H660" s="103"/>
      <c r="I660" s="75"/>
      <c r="J660" s="68"/>
      <c r="K660" s="68"/>
      <c r="L660" s="68"/>
      <c r="M660" s="68"/>
      <c r="N660" s="114"/>
      <c r="O660" s="34"/>
      <c r="P660" s="34"/>
      <c r="Q660" s="2">
        <f t="shared" ref="Q660:Q664" si="1928">Q659-2</f>
        <v>13</v>
      </c>
      <c r="R660" s="2">
        <f t="shared" si="1924"/>
        <v>-13</v>
      </c>
      <c r="S660" s="2"/>
      <c r="T660" s="2"/>
      <c r="U660" s="2">
        <f t="shared" ref="U660" si="1929">0.098*J662*M662*0.5*R660</f>
        <v>0</v>
      </c>
      <c r="V660" s="10">
        <f t="shared" ref="V660" si="1930">0.098*J662*M662*Q660</f>
        <v>0</v>
      </c>
      <c r="W660" s="2">
        <f t="shared" ref="W660" si="1931">0.098*J662*M662*(S660-T660)</f>
        <v>0</v>
      </c>
      <c r="X660" s="84"/>
      <c r="Y660" s="82"/>
      <c r="Z660" s="125"/>
    </row>
    <row r="661" spans="1:26" x14ac:dyDescent="0.2">
      <c r="A661" s="101"/>
      <c r="B661" s="102"/>
      <c r="C661" s="102"/>
      <c r="D661" s="102"/>
      <c r="E661" s="102"/>
      <c r="F661" s="102"/>
      <c r="G661" s="102"/>
      <c r="H661" s="103"/>
      <c r="I661" s="75"/>
      <c r="J661" s="69"/>
      <c r="K661" s="69"/>
      <c r="L661" s="69"/>
      <c r="M661" s="69"/>
      <c r="N661" s="114"/>
      <c r="O661" s="34"/>
      <c r="P661" s="34"/>
      <c r="Q661" s="2">
        <f t="shared" si="1928"/>
        <v>11</v>
      </c>
      <c r="R661" s="2">
        <f t="shared" si="1924"/>
        <v>-11</v>
      </c>
      <c r="S661" s="2"/>
      <c r="T661" s="2"/>
      <c r="U661" s="2">
        <f t="shared" ref="U661" si="1932">0.098*J662*M662*0.5*R661</f>
        <v>0</v>
      </c>
      <c r="V661" s="10">
        <f t="shared" ref="V661" si="1933">0.098*J662*M662*Q661</f>
        <v>0</v>
      </c>
      <c r="W661" s="2">
        <f t="shared" ref="W661" si="1934">0.098*J662*M662*(S661-T661)</f>
        <v>0</v>
      </c>
      <c r="X661" s="84"/>
      <c r="Y661" s="82"/>
      <c r="Z661" s="125"/>
    </row>
    <row r="662" spans="1:26" x14ac:dyDescent="0.2">
      <c r="A662" s="101"/>
      <c r="B662" s="102"/>
      <c r="C662" s="102"/>
      <c r="D662" s="102"/>
      <c r="E662" s="102"/>
      <c r="F662" s="102"/>
      <c r="G662" s="102"/>
      <c r="H662" s="103"/>
      <c r="I662" s="75"/>
      <c r="J662" s="86">
        <f t="shared" ref="J662" si="1935">(9*F658)/1000</f>
        <v>-0.79815599999999998</v>
      </c>
      <c r="K662" s="89"/>
      <c r="L662" s="92"/>
      <c r="M662" s="92"/>
      <c r="N662" s="114"/>
      <c r="O662" s="34"/>
      <c r="P662" s="34"/>
      <c r="Q662" s="2">
        <f t="shared" si="1928"/>
        <v>9</v>
      </c>
      <c r="R662" s="2">
        <f t="shared" si="1924"/>
        <v>-9</v>
      </c>
      <c r="S662" s="2"/>
      <c r="T662" s="2"/>
      <c r="U662" s="2">
        <f t="shared" ref="U662" si="1936">0.098*J662*M662*0.5*R662</f>
        <v>0</v>
      </c>
      <c r="V662" s="10">
        <f t="shared" ref="V662" si="1937">0.098*J662*M662*Q662</f>
        <v>0</v>
      </c>
      <c r="W662" s="2">
        <f t="shared" ref="W662" si="1938">0.098*J662*M662*(S662-T662)</f>
        <v>0</v>
      </c>
      <c r="X662" s="84"/>
      <c r="Y662" s="82"/>
      <c r="Z662" s="101">
        <f t="shared" ref="Z662" si="1939">_xlfn.STDEV.S(R659:R664)</f>
        <v>3.7416573867739413</v>
      </c>
    </row>
    <row r="663" spans="1:26" x14ac:dyDescent="0.2">
      <c r="A663" s="101"/>
      <c r="B663" s="102"/>
      <c r="C663" s="102"/>
      <c r="D663" s="102"/>
      <c r="E663" s="102"/>
      <c r="F663" s="102"/>
      <c r="G663" s="102"/>
      <c r="H663" s="103"/>
      <c r="I663" s="75"/>
      <c r="J663" s="87"/>
      <c r="K663" s="90"/>
      <c r="L663" s="93"/>
      <c r="M663" s="93"/>
      <c r="N663" s="114"/>
      <c r="O663" s="34"/>
      <c r="P663" s="34"/>
      <c r="Q663" s="2">
        <f t="shared" si="1928"/>
        <v>7</v>
      </c>
      <c r="R663" s="2">
        <f t="shared" si="1924"/>
        <v>-7</v>
      </c>
      <c r="S663" s="2"/>
      <c r="T663" s="2"/>
      <c r="U663" s="2">
        <f t="shared" ref="U663" si="1940">0.098*J662*M662*0.5*R663</f>
        <v>0</v>
      </c>
      <c r="V663" s="10">
        <f t="shared" ref="V663" si="1941">0.098*J662*M662*Q663</f>
        <v>0</v>
      </c>
      <c r="W663" s="2">
        <f t="shared" ref="W663" si="1942">0.098*J662*M662*(S663-T663)</f>
        <v>0</v>
      </c>
      <c r="X663" s="84"/>
      <c r="Y663" s="82"/>
      <c r="Z663" s="101"/>
    </row>
    <row r="664" spans="1:26" ht="17" thickBot="1" x14ac:dyDescent="0.25">
      <c r="A664" s="104"/>
      <c r="B664" s="105"/>
      <c r="C664" s="105"/>
      <c r="D664" s="105"/>
      <c r="E664" s="105"/>
      <c r="F664" s="105"/>
      <c r="G664" s="105"/>
      <c r="H664" s="106"/>
      <c r="I664" s="117"/>
      <c r="J664" s="88"/>
      <c r="K664" s="91"/>
      <c r="L664" s="94"/>
      <c r="M664" s="94"/>
      <c r="N664" s="115"/>
      <c r="O664" s="35"/>
      <c r="P664" s="35"/>
      <c r="Q664" s="20">
        <f t="shared" si="1928"/>
        <v>5</v>
      </c>
      <c r="R664" s="2">
        <f t="shared" si="1924"/>
        <v>-5</v>
      </c>
      <c r="S664" s="20"/>
      <c r="T664" s="20"/>
      <c r="U664" s="20">
        <f t="shared" ref="U664" si="1943">0.098*J662*M662*0.5*R664</f>
        <v>0</v>
      </c>
      <c r="V664" s="21">
        <f t="shared" ref="V664" si="1944">0.098*J662*M662*Q664</f>
        <v>0</v>
      </c>
      <c r="W664" s="20">
        <f t="shared" ref="W664" si="1945">0.098*J662*M662*(S664-T664)</f>
        <v>0</v>
      </c>
      <c r="X664" s="85"/>
      <c r="Y664" s="83"/>
      <c r="Z664" s="101"/>
    </row>
    <row r="665" spans="1:26" x14ac:dyDescent="0.2">
      <c r="A665" s="107" t="s">
        <v>8</v>
      </c>
      <c r="B665" s="110" t="s">
        <v>3</v>
      </c>
      <c r="C665" s="110" t="s">
        <v>7</v>
      </c>
      <c r="D665" s="110" t="s">
        <v>9</v>
      </c>
      <c r="E665" s="71" t="s">
        <v>11</v>
      </c>
      <c r="F665" s="71" t="s">
        <v>10</v>
      </c>
      <c r="G665" s="71" t="s">
        <v>12</v>
      </c>
      <c r="H665" s="71" t="s">
        <v>32</v>
      </c>
      <c r="I665" s="74" t="s">
        <v>14</v>
      </c>
      <c r="J665" s="67" t="s">
        <v>31</v>
      </c>
      <c r="K665" s="67" t="s">
        <v>33</v>
      </c>
      <c r="L665" s="67" t="s">
        <v>17</v>
      </c>
      <c r="M665" s="67" t="s">
        <v>0</v>
      </c>
      <c r="N665" s="113" t="s">
        <v>16</v>
      </c>
      <c r="O665" s="4" t="s">
        <v>6</v>
      </c>
      <c r="P665" s="4" t="s">
        <v>34</v>
      </c>
      <c r="Q665" s="17" t="s">
        <v>2</v>
      </c>
      <c r="R665" s="17" t="s">
        <v>1</v>
      </c>
      <c r="S665" s="17" t="s">
        <v>25</v>
      </c>
      <c r="T665" s="17" t="s">
        <v>26</v>
      </c>
      <c r="U665" s="18" t="s">
        <v>20</v>
      </c>
      <c r="V665" s="18" t="s">
        <v>22</v>
      </c>
      <c r="W665" s="18" t="s">
        <v>24</v>
      </c>
      <c r="X665" s="77" t="s">
        <v>19</v>
      </c>
      <c r="Y665" s="79" t="s">
        <v>23</v>
      </c>
      <c r="Z665" s="125" t="s">
        <v>39</v>
      </c>
    </row>
    <row r="666" spans="1:26" x14ac:dyDescent="0.2">
      <c r="A666" s="108"/>
      <c r="B666" s="111"/>
      <c r="C666" s="111"/>
      <c r="D666" s="111"/>
      <c r="E666" s="72"/>
      <c r="F666" s="72"/>
      <c r="G666" s="72"/>
      <c r="H666" s="72"/>
      <c r="I666" s="75"/>
      <c r="J666" s="68"/>
      <c r="K666" s="68"/>
      <c r="L666" s="68"/>
      <c r="M666" s="68"/>
      <c r="N666" s="114"/>
      <c r="O666" s="34"/>
      <c r="P666" s="34"/>
      <c r="Q666" s="2">
        <v>15</v>
      </c>
      <c r="R666" s="2">
        <f t="shared" ref="R666:R671" si="1946">T666-Q666</f>
        <v>-15</v>
      </c>
      <c r="S666" s="2"/>
      <c r="T666" s="2"/>
      <c r="U666" s="9">
        <f t="shared" ref="U666" si="1947">0.098*J669*M669*0.5*R666</f>
        <v>0</v>
      </c>
      <c r="V666" s="9">
        <f t="shared" ref="V666" si="1948">0.098*J669*M669*Q666</f>
        <v>0</v>
      </c>
      <c r="W666" s="8">
        <f t="shared" ref="W666" si="1949">0.098*J669*M669*(S666-T666)</f>
        <v>0</v>
      </c>
      <c r="X666" s="78"/>
      <c r="Y666" s="80"/>
      <c r="Z666" s="125"/>
    </row>
    <row r="667" spans="1:26" x14ac:dyDescent="0.2">
      <c r="A667" s="108"/>
      <c r="B667" s="111"/>
      <c r="C667" s="111"/>
      <c r="D667" s="111"/>
      <c r="E667" s="72"/>
      <c r="F667" s="72"/>
      <c r="G667" s="72"/>
      <c r="H667" s="72"/>
      <c r="I667" s="75"/>
      <c r="J667" s="68"/>
      <c r="K667" s="68"/>
      <c r="L667" s="68"/>
      <c r="M667" s="68"/>
      <c r="N667" s="114"/>
      <c r="O667" s="34"/>
      <c r="P667" s="34"/>
      <c r="Q667" s="2">
        <f t="shared" ref="Q667:Q671" si="1950">Q666-2</f>
        <v>13</v>
      </c>
      <c r="R667" s="2">
        <f t="shared" si="1946"/>
        <v>-13</v>
      </c>
      <c r="S667" s="2"/>
      <c r="T667" s="2"/>
      <c r="U667" s="9">
        <f t="shared" ref="U667" si="1951">0.098*J669*M669*0.5*R667</f>
        <v>0</v>
      </c>
      <c r="V667" s="9">
        <f t="shared" ref="V667" si="1952">0.098*J669*M669*Q667</f>
        <v>0</v>
      </c>
      <c r="W667" s="8">
        <f t="shared" ref="W667" si="1953">0.098*J669*M669*(S667-T667)</f>
        <v>0</v>
      </c>
      <c r="X667" s="23"/>
      <c r="Y667" s="81"/>
      <c r="Z667" s="125"/>
    </row>
    <row r="668" spans="1:26" x14ac:dyDescent="0.2">
      <c r="A668" s="108"/>
      <c r="B668" s="111"/>
      <c r="C668" s="111"/>
      <c r="D668" s="111"/>
      <c r="E668" s="72"/>
      <c r="F668" s="72"/>
      <c r="G668" s="72"/>
      <c r="H668" s="72"/>
      <c r="I668" s="75"/>
      <c r="J668" s="69"/>
      <c r="K668" s="69"/>
      <c r="L668" s="69"/>
      <c r="M668" s="69"/>
      <c r="N668" s="114"/>
      <c r="O668" s="34"/>
      <c r="P668" s="34"/>
      <c r="Q668" s="2">
        <f t="shared" si="1950"/>
        <v>11</v>
      </c>
      <c r="R668" s="2">
        <f t="shared" si="1946"/>
        <v>-11</v>
      </c>
      <c r="S668" s="2"/>
      <c r="T668" s="2"/>
      <c r="U668" s="9">
        <f t="shared" ref="U668" si="1954">0.098*J669*M669*0.5*R668</f>
        <v>0</v>
      </c>
      <c r="V668" s="9">
        <f t="shared" ref="V668" si="1955">0.098*J669*M669*Q668</f>
        <v>0</v>
      </c>
      <c r="W668" s="8">
        <f t="shared" ref="W668" si="1956">0.098*J669*M669*(S668-T668)</f>
        <v>0</v>
      </c>
      <c r="X668" s="84"/>
      <c r="Y668" s="82"/>
      <c r="Z668" s="125"/>
    </row>
    <row r="669" spans="1:26" x14ac:dyDescent="0.2">
      <c r="A669" s="108"/>
      <c r="B669" s="111"/>
      <c r="C669" s="111"/>
      <c r="D669" s="111"/>
      <c r="E669" s="72"/>
      <c r="F669" s="72"/>
      <c r="G669" s="72"/>
      <c r="H669" s="72"/>
      <c r="I669" s="75"/>
      <c r="J669" s="86">
        <f t="shared" ref="J669" si="1957">(7*F672)/1000</f>
        <v>-0.62078800000000001</v>
      </c>
      <c r="K669" s="89"/>
      <c r="L669" s="92"/>
      <c r="M669" s="92"/>
      <c r="N669" s="114"/>
      <c r="O669" s="34"/>
      <c r="P669" s="34"/>
      <c r="Q669" s="2">
        <f t="shared" si="1950"/>
        <v>9</v>
      </c>
      <c r="R669" s="2">
        <f t="shared" si="1946"/>
        <v>-9</v>
      </c>
      <c r="S669" s="2"/>
      <c r="T669" s="2"/>
      <c r="U669" s="9">
        <f t="shared" ref="U669" si="1958">0.098*J669*M669*0.5*R669</f>
        <v>0</v>
      </c>
      <c r="V669" s="9">
        <f t="shared" ref="V669" si="1959">0.098*J669*M669*Q669</f>
        <v>0</v>
      </c>
      <c r="W669" s="8">
        <f t="shared" ref="W669" si="1960">0.098*J669*M669*(S669-T669)</f>
        <v>0</v>
      </c>
      <c r="X669" s="84"/>
      <c r="Y669" s="82"/>
      <c r="Z669" s="101">
        <f t="shared" ref="Z669" si="1961">_xlfn.STDEV.S(R666:R671)</f>
        <v>3.7416573867739413</v>
      </c>
    </row>
    <row r="670" spans="1:26" x14ac:dyDescent="0.2">
      <c r="A670" s="108"/>
      <c r="B670" s="111"/>
      <c r="C670" s="111"/>
      <c r="D670" s="111"/>
      <c r="E670" s="72"/>
      <c r="F670" s="72"/>
      <c r="G670" s="72"/>
      <c r="H670" s="72"/>
      <c r="I670" s="75"/>
      <c r="J670" s="87"/>
      <c r="K670" s="90"/>
      <c r="L670" s="93"/>
      <c r="M670" s="93"/>
      <c r="N670" s="114"/>
      <c r="O670" s="34"/>
      <c r="P670" s="34"/>
      <c r="Q670" s="2">
        <f t="shared" si="1950"/>
        <v>7</v>
      </c>
      <c r="R670" s="2">
        <f t="shared" si="1946"/>
        <v>-7</v>
      </c>
      <c r="S670" s="2"/>
      <c r="T670" s="2"/>
      <c r="U670" s="9">
        <f t="shared" ref="U670" si="1962">0.098*J669*M669*0.5*R670</f>
        <v>0</v>
      </c>
      <c r="V670" s="9">
        <f t="shared" ref="V670" si="1963">0.098*J669*M669*Q670</f>
        <v>0</v>
      </c>
      <c r="W670" s="8">
        <f t="shared" ref="W670" si="1964">0.098*J669*M669*(S670-T670)</f>
        <v>0</v>
      </c>
      <c r="X670" s="84"/>
      <c r="Y670" s="82"/>
      <c r="Z670" s="101"/>
    </row>
    <row r="671" spans="1:26" ht="17" thickBot="1" x14ac:dyDescent="0.25">
      <c r="A671" s="109"/>
      <c r="B671" s="112"/>
      <c r="C671" s="112"/>
      <c r="D671" s="112"/>
      <c r="E671" s="73"/>
      <c r="F671" s="73"/>
      <c r="G671" s="73"/>
      <c r="H671" s="73"/>
      <c r="I671" s="76"/>
      <c r="J671" s="97"/>
      <c r="K671" s="96"/>
      <c r="L671" s="95"/>
      <c r="M671" s="95"/>
      <c r="N671" s="114"/>
      <c r="O671" s="34"/>
      <c r="P671" s="34"/>
      <c r="Q671" s="2">
        <f t="shared" si="1950"/>
        <v>5</v>
      </c>
      <c r="R671" s="2">
        <f t="shared" si="1946"/>
        <v>-5</v>
      </c>
      <c r="S671" s="2"/>
      <c r="T671" s="2"/>
      <c r="U671" s="9">
        <f t="shared" ref="U671" si="1965">0.098*J669*M669*0.5*R671</f>
        <v>0</v>
      </c>
      <c r="V671" s="9">
        <f t="shared" ref="V671" si="1966">0.098*J669*M669*Q671</f>
        <v>0</v>
      </c>
      <c r="W671" s="8">
        <f t="shared" ref="W671" si="1967">0.098*J669*M669*(S671-T671)</f>
        <v>0</v>
      </c>
      <c r="X671" s="84"/>
      <c r="Y671" s="82"/>
      <c r="Z671" s="101"/>
    </row>
    <row r="672" spans="1:26" x14ac:dyDescent="0.2">
      <c r="A672" s="19">
        <f t="shared" si="1875"/>
        <v>47</v>
      </c>
      <c r="B672" s="3" t="s">
        <v>5</v>
      </c>
      <c r="C672" s="3"/>
      <c r="D672" s="3"/>
      <c r="E672" s="3"/>
      <c r="F672" s="3">
        <f t="shared" ref="F672" si="1968">IF(B672="M", 50 + 0.91*(D672-152.4), IF(B672="F", 45.5 + 0.91*(D672-152.4), ""))</f>
        <v>-88.683999999999997</v>
      </c>
      <c r="G672" s="3"/>
      <c r="H672" s="3" t="e">
        <f t="shared" ref="H672" si="1969">E672/(D672*10^-2)^2</f>
        <v>#DIV/0!</v>
      </c>
      <c r="I672" s="116" t="s">
        <v>15</v>
      </c>
      <c r="J672" s="70" t="s">
        <v>31</v>
      </c>
      <c r="K672" s="70" t="s">
        <v>33</v>
      </c>
      <c r="L672" s="70" t="s">
        <v>17</v>
      </c>
      <c r="M672" s="70" t="s">
        <v>0</v>
      </c>
      <c r="N672" s="114"/>
      <c r="O672" s="4" t="s">
        <v>6</v>
      </c>
      <c r="P672" s="4" t="s">
        <v>34</v>
      </c>
      <c r="Q672" s="6" t="s">
        <v>2</v>
      </c>
      <c r="R672" s="17" t="s">
        <v>1</v>
      </c>
      <c r="S672" s="17" t="s">
        <v>25</v>
      </c>
      <c r="T672" s="17" t="s">
        <v>26</v>
      </c>
      <c r="U672" s="7" t="s">
        <v>21</v>
      </c>
      <c r="V672" s="7" t="s">
        <v>22</v>
      </c>
      <c r="W672" s="7" t="s">
        <v>24</v>
      </c>
      <c r="X672" s="84"/>
      <c r="Y672" s="82"/>
      <c r="Z672" s="125" t="s">
        <v>39</v>
      </c>
    </row>
    <row r="673" spans="1:26" x14ac:dyDescent="0.2">
      <c r="A673" s="98"/>
      <c r="B673" s="99"/>
      <c r="C673" s="99"/>
      <c r="D673" s="99"/>
      <c r="E673" s="99"/>
      <c r="F673" s="99"/>
      <c r="G673" s="99"/>
      <c r="H673" s="100"/>
      <c r="I673" s="75"/>
      <c r="J673" s="68"/>
      <c r="K673" s="68"/>
      <c r="L673" s="68"/>
      <c r="M673" s="68"/>
      <c r="N673" s="114"/>
      <c r="O673" s="34"/>
      <c r="P673" s="34"/>
      <c r="Q673" s="2">
        <v>15</v>
      </c>
      <c r="R673" s="2">
        <f t="shared" ref="R673:R678" si="1970">T673-Q673</f>
        <v>-15</v>
      </c>
      <c r="S673" s="2"/>
      <c r="T673" s="2"/>
      <c r="U673" s="2">
        <f t="shared" ref="U673" si="1971">0.098*J676*M676*0.5*R673</f>
        <v>0</v>
      </c>
      <c r="V673" s="10">
        <f t="shared" ref="V673" si="1972">0.098*J676*M676*Q673</f>
        <v>0</v>
      </c>
      <c r="W673" s="2">
        <f t="shared" ref="W673" si="1973">0.098*J676*M676*(S673-T673)</f>
        <v>0</v>
      </c>
      <c r="X673" s="84"/>
      <c r="Y673" s="82"/>
      <c r="Z673" s="125"/>
    </row>
    <row r="674" spans="1:26" x14ac:dyDescent="0.2">
      <c r="A674" s="101"/>
      <c r="B674" s="102"/>
      <c r="C674" s="102"/>
      <c r="D674" s="102"/>
      <c r="E674" s="102"/>
      <c r="F674" s="102"/>
      <c r="G674" s="102"/>
      <c r="H674" s="103"/>
      <c r="I674" s="75"/>
      <c r="J674" s="68"/>
      <c r="K674" s="68"/>
      <c r="L674" s="68"/>
      <c r="M674" s="68"/>
      <c r="N674" s="114"/>
      <c r="O674" s="34"/>
      <c r="P674" s="34"/>
      <c r="Q674" s="2">
        <f t="shared" ref="Q674:Q678" si="1974">Q673-2</f>
        <v>13</v>
      </c>
      <c r="R674" s="2">
        <f t="shared" si="1970"/>
        <v>-13</v>
      </c>
      <c r="S674" s="2"/>
      <c r="T674" s="2"/>
      <c r="U674" s="2">
        <f t="shared" ref="U674" si="1975">0.098*J676*M676*0.5*R674</f>
        <v>0</v>
      </c>
      <c r="V674" s="10">
        <f t="shared" ref="V674" si="1976">0.098*J676*M676*Q674</f>
        <v>0</v>
      </c>
      <c r="W674" s="2">
        <f t="shared" ref="W674" si="1977">0.098*J676*M676*(S674-T674)</f>
        <v>0</v>
      </c>
      <c r="X674" s="84"/>
      <c r="Y674" s="82"/>
      <c r="Z674" s="125"/>
    </row>
    <row r="675" spans="1:26" x14ac:dyDescent="0.2">
      <c r="A675" s="101"/>
      <c r="B675" s="102"/>
      <c r="C675" s="102"/>
      <c r="D675" s="102"/>
      <c r="E675" s="102"/>
      <c r="F675" s="102"/>
      <c r="G675" s="102"/>
      <c r="H675" s="103"/>
      <c r="I675" s="75"/>
      <c r="J675" s="69"/>
      <c r="K675" s="69"/>
      <c r="L675" s="69"/>
      <c r="M675" s="69"/>
      <c r="N675" s="114"/>
      <c r="O675" s="34"/>
      <c r="P675" s="34"/>
      <c r="Q675" s="2">
        <f t="shared" si="1974"/>
        <v>11</v>
      </c>
      <c r="R675" s="2">
        <f t="shared" si="1970"/>
        <v>-11</v>
      </c>
      <c r="S675" s="2"/>
      <c r="T675" s="2"/>
      <c r="U675" s="2">
        <f t="shared" ref="U675" si="1978">0.098*J676*M676*0.5*R675</f>
        <v>0</v>
      </c>
      <c r="V675" s="10">
        <f t="shared" ref="V675" si="1979">0.098*J676*M676*Q675</f>
        <v>0</v>
      </c>
      <c r="W675" s="2">
        <f t="shared" ref="W675" si="1980">0.098*J676*M676*(S675-T675)</f>
        <v>0</v>
      </c>
      <c r="X675" s="84"/>
      <c r="Y675" s="82"/>
      <c r="Z675" s="125"/>
    </row>
    <row r="676" spans="1:26" x14ac:dyDescent="0.2">
      <c r="A676" s="101"/>
      <c r="B676" s="102"/>
      <c r="C676" s="102"/>
      <c r="D676" s="102"/>
      <c r="E676" s="102"/>
      <c r="F676" s="102"/>
      <c r="G676" s="102"/>
      <c r="H676" s="103"/>
      <c r="I676" s="75"/>
      <c r="J676" s="86">
        <f t="shared" ref="J676" si="1981">(9*F672)/1000</f>
        <v>-0.79815599999999998</v>
      </c>
      <c r="K676" s="89"/>
      <c r="L676" s="92"/>
      <c r="M676" s="92"/>
      <c r="N676" s="114"/>
      <c r="O676" s="34"/>
      <c r="P676" s="34"/>
      <c r="Q676" s="2">
        <f t="shared" si="1974"/>
        <v>9</v>
      </c>
      <c r="R676" s="2">
        <f t="shared" si="1970"/>
        <v>-9</v>
      </c>
      <c r="S676" s="2"/>
      <c r="T676" s="2"/>
      <c r="U676" s="2">
        <f t="shared" ref="U676" si="1982">0.098*J676*M676*0.5*R676</f>
        <v>0</v>
      </c>
      <c r="V676" s="10">
        <f t="shared" ref="V676" si="1983">0.098*J676*M676*Q676</f>
        <v>0</v>
      </c>
      <c r="W676" s="2">
        <f t="shared" ref="W676" si="1984">0.098*J676*M676*(S676-T676)</f>
        <v>0</v>
      </c>
      <c r="X676" s="84"/>
      <c r="Y676" s="82"/>
      <c r="Z676" s="101">
        <f t="shared" ref="Z676" si="1985">_xlfn.STDEV.S(R673:R678)</f>
        <v>3.7416573867739413</v>
      </c>
    </row>
    <row r="677" spans="1:26" x14ac:dyDescent="0.2">
      <c r="A677" s="101"/>
      <c r="B677" s="102"/>
      <c r="C677" s="102"/>
      <c r="D677" s="102"/>
      <c r="E677" s="102"/>
      <c r="F677" s="102"/>
      <c r="G677" s="102"/>
      <c r="H677" s="103"/>
      <c r="I677" s="75"/>
      <c r="J677" s="87"/>
      <c r="K677" s="90"/>
      <c r="L677" s="93"/>
      <c r="M677" s="93"/>
      <c r="N677" s="114"/>
      <c r="O677" s="34"/>
      <c r="P677" s="34"/>
      <c r="Q677" s="2">
        <f t="shared" si="1974"/>
        <v>7</v>
      </c>
      <c r="R677" s="2">
        <f t="shared" si="1970"/>
        <v>-7</v>
      </c>
      <c r="S677" s="2"/>
      <c r="T677" s="2"/>
      <c r="U677" s="2">
        <f t="shared" ref="U677" si="1986">0.098*J676*M676*0.5*R677</f>
        <v>0</v>
      </c>
      <c r="V677" s="10">
        <f t="shared" ref="V677" si="1987">0.098*J676*M676*Q677</f>
        <v>0</v>
      </c>
      <c r="W677" s="2">
        <f t="shared" ref="W677" si="1988">0.098*J676*M676*(S677-T677)</f>
        <v>0</v>
      </c>
      <c r="X677" s="84"/>
      <c r="Y677" s="82"/>
      <c r="Z677" s="101"/>
    </row>
    <row r="678" spans="1:26" ht="17" thickBot="1" x14ac:dyDescent="0.25">
      <c r="A678" s="104"/>
      <c r="B678" s="105"/>
      <c r="C678" s="105"/>
      <c r="D678" s="105"/>
      <c r="E678" s="105"/>
      <c r="F678" s="105"/>
      <c r="G678" s="105"/>
      <c r="H678" s="106"/>
      <c r="I678" s="117"/>
      <c r="J678" s="88"/>
      <c r="K678" s="91"/>
      <c r="L678" s="94"/>
      <c r="M678" s="94"/>
      <c r="N678" s="115"/>
      <c r="O678" s="35"/>
      <c r="P678" s="35"/>
      <c r="Q678" s="20">
        <f t="shared" si="1974"/>
        <v>5</v>
      </c>
      <c r="R678" s="2">
        <f t="shared" si="1970"/>
        <v>-5</v>
      </c>
      <c r="S678" s="20"/>
      <c r="T678" s="20"/>
      <c r="U678" s="20">
        <f t="shared" ref="U678" si="1989">0.098*J676*M676*0.5*R678</f>
        <v>0</v>
      </c>
      <c r="V678" s="21">
        <f t="shared" ref="V678" si="1990">0.098*J676*M676*Q678</f>
        <v>0</v>
      </c>
      <c r="W678" s="20">
        <f t="shared" ref="W678" si="1991">0.098*J676*M676*(S678-T678)</f>
        <v>0</v>
      </c>
      <c r="X678" s="85"/>
      <c r="Y678" s="83"/>
      <c r="Z678" s="101"/>
    </row>
    <row r="679" spans="1:26" x14ac:dyDescent="0.2">
      <c r="A679" s="107" t="s">
        <v>8</v>
      </c>
      <c r="B679" s="110" t="s">
        <v>3</v>
      </c>
      <c r="C679" s="110" t="s">
        <v>7</v>
      </c>
      <c r="D679" s="110" t="s">
        <v>9</v>
      </c>
      <c r="E679" s="71" t="s">
        <v>11</v>
      </c>
      <c r="F679" s="71" t="s">
        <v>10</v>
      </c>
      <c r="G679" s="71" t="s">
        <v>12</v>
      </c>
      <c r="H679" s="71" t="s">
        <v>32</v>
      </c>
      <c r="I679" s="74" t="s">
        <v>14</v>
      </c>
      <c r="J679" s="67" t="s">
        <v>31</v>
      </c>
      <c r="K679" s="67" t="s">
        <v>33</v>
      </c>
      <c r="L679" s="67" t="s">
        <v>17</v>
      </c>
      <c r="M679" s="67" t="s">
        <v>0</v>
      </c>
      <c r="N679" s="113" t="s">
        <v>16</v>
      </c>
      <c r="O679" s="4" t="s">
        <v>6</v>
      </c>
      <c r="P679" s="4" t="s">
        <v>34</v>
      </c>
      <c r="Q679" s="17" t="s">
        <v>2</v>
      </c>
      <c r="R679" s="17" t="s">
        <v>1</v>
      </c>
      <c r="S679" s="17" t="s">
        <v>25</v>
      </c>
      <c r="T679" s="17" t="s">
        <v>26</v>
      </c>
      <c r="U679" s="18" t="s">
        <v>20</v>
      </c>
      <c r="V679" s="18" t="s">
        <v>22</v>
      </c>
      <c r="W679" s="18" t="s">
        <v>24</v>
      </c>
      <c r="X679" s="77" t="s">
        <v>19</v>
      </c>
      <c r="Y679" s="79" t="s">
        <v>23</v>
      </c>
      <c r="Z679" s="125" t="s">
        <v>39</v>
      </c>
    </row>
    <row r="680" spans="1:26" x14ac:dyDescent="0.2">
      <c r="A680" s="108"/>
      <c r="B680" s="111"/>
      <c r="C680" s="111"/>
      <c r="D680" s="111"/>
      <c r="E680" s="72"/>
      <c r="F680" s="72"/>
      <c r="G680" s="72"/>
      <c r="H680" s="72"/>
      <c r="I680" s="75"/>
      <c r="J680" s="68"/>
      <c r="K680" s="68"/>
      <c r="L680" s="68"/>
      <c r="M680" s="68"/>
      <c r="N680" s="114"/>
      <c r="O680" s="34"/>
      <c r="P680" s="34"/>
      <c r="Q680" s="2">
        <v>15</v>
      </c>
      <c r="R680" s="2">
        <f t="shared" ref="R680:R685" si="1992">T680-Q680</f>
        <v>-15</v>
      </c>
      <c r="S680" s="2"/>
      <c r="T680" s="2"/>
      <c r="U680" s="9">
        <f t="shared" ref="U680" si="1993">0.098*J683*M683*0.5*R680</f>
        <v>0</v>
      </c>
      <c r="V680" s="9">
        <f t="shared" ref="V680" si="1994">0.098*J683*M683*Q680</f>
        <v>0</v>
      </c>
      <c r="W680" s="8">
        <f t="shared" ref="W680" si="1995">0.098*J683*M683*(S680-T680)</f>
        <v>0</v>
      </c>
      <c r="X680" s="78"/>
      <c r="Y680" s="80"/>
      <c r="Z680" s="125"/>
    </row>
    <row r="681" spans="1:26" x14ac:dyDescent="0.2">
      <c r="A681" s="108"/>
      <c r="B681" s="111"/>
      <c r="C681" s="111"/>
      <c r="D681" s="111"/>
      <c r="E681" s="72"/>
      <c r="F681" s="72"/>
      <c r="G681" s="72"/>
      <c r="H681" s="72"/>
      <c r="I681" s="75"/>
      <c r="J681" s="68"/>
      <c r="K681" s="68"/>
      <c r="L681" s="68"/>
      <c r="M681" s="68"/>
      <c r="N681" s="114"/>
      <c r="O681" s="34"/>
      <c r="P681" s="34"/>
      <c r="Q681" s="2">
        <f t="shared" ref="Q681:Q685" si="1996">Q680-2</f>
        <v>13</v>
      </c>
      <c r="R681" s="2">
        <f t="shared" si="1992"/>
        <v>-13</v>
      </c>
      <c r="S681" s="2"/>
      <c r="T681" s="2"/>
      <c r="U681" s="9">
        <f t="shared" ref="U681" si="1997">0.098*J683*M683*0.5*R681</f>
        <v>0</v>
      </c>
      <c r="V681" s="9">
        <f t="shared" ref="V681" si="1998">0.098*J683*M683*Q681</f>
        <v>0</v>
      </c>
      <c r="W681" s="8">
        <f t="shared" ref="W681" si="1999">0.098*J683*M683*(S681-T681)</f>
        <v>0</v>
      </c>
      <c r="X681" s="23"/>
      <c r="Y681" s="81"/>
      <c r="Z681" s="125"/>
    </row>
    <row r="682" spans="1:26" x14ac:dyDescent="0.2">
      <c r="A682" s="108"/>
      <c r="B682" s="111"/>
      <c r="C682" s="111"/>
      <c r="D682" s="111"/>
      <c r="E682" s="72"/>
      <c r="F682" s="72"/>
      <c r="G682" s="72"/>
      <c r="H682" s="72"/>
      <c r="I682" s="75"/>
      <c r="J682" s="69"/>
      <c r="K682" s="69"/>
      <c r="L682" s="69"/>
      <c r="M682" s="69"/>
      <c r="N682" s="114"/>
      <c r="O682" s="34"/>
      <c r="P682" s="34"/>
      <c r="Q682" s="2">
        <f t="shared" si="1996"/>
        <v>11</v>
      </c>
      <c r="R682" s="2">
        <f t="shared" si="1992"/>
        <v>-11</v>
      </c>
      <c r="S682" s="2"/>
      <c r="T682" s="2"/>
      <c r="U682" s="9">
        <f t="shared" ref="U682" si="2000">0.098*J683*M683*0.5*R682</f>
        <v>0</v>
      </c>
      <c r="V682" s="9">
        <f t="shared" ref="V682" si="2001">0.098*J683*M683*Q682</f>
        <v>0</v>
      </c>
      <c r="W682" s="8">
        <f t="shared" ref="W682" si="2002">0.098*J683*M683*(S682-T682)</f>
        <v>0</v>
      </c>
      <c r="X682" s="84"/>
      <c r="Y682" s="82"/>
      <c r="Z682" s="125"/>
    </row>
    <row r="683" spans="1:26" x14ac:dyDescent="0.2">
      <c r="A683" s="108"/>
      <c r="B683" s="111"/>
      <c r="C683" s="111"/>
      <c r="D683" s="111"/>
      <c r="E683" s="72"/>
      <c r="F683" s="72"/>
      <c r="G683" s="72"/>
      <c r="H683" s="72"/>
      <c r="I683" s="75"/>
      <c r="J683" s="86">
        <f t="shared" ref="J683" si="2003">(7*F686)/1000</f>
        <v>-0.62078800000000001</v>
      </c>
      <c r="K683" s="89"/>
      <c r="L683" s="92"/>
      <c r="M683" s="92"/>
      <c r="N683" s="114"/>
      <c r="O683" s="34"/>
      <c r="P683" s="34"/>
      <c r="Q683" s="2">
        <f t="shared" si="1996"/>
        <v>9</v>
      </c>
      <c r="R683" s="2">
        <f t="shared" si="1992"/>
        <v>-9</v>
      </c>
      <c r="S683" s="2"/>
      <c r="T683" s="2"/>
      <c r="U683" s="9">
        <f t="shared" ref="U683" si="2004">0.098*J683*M683*0.5*R683</f>
        <v>0</v>
      </c>
      <c r="V683" s="9">
        <f t="shared" ref="V683" si="2005">0.098*J683*M683*Q683</f>
        <v>0</v>
      </c>
      <c r="W683" s="8">
        <f t="shared" ref="W683" si="2006">0.098*J683*M683*(S683-T683)</f>
        <v>0</v>
      </c>
      <c r="X683" s="84"/>
      <c r="Y683" s="82"/>
      <c r="Z683" s="101">
        <f t="shared" ref="Z683" si="2007">_xlfn.STDEV.S(R680:R685)</f>
        <v>3.7416573867739413</v>
      </c>
    </row>
    <row r="684" spans="1:26" x14ac:dyDescent="0.2">
      <c r="A684" s="108"/>
      <c r="B684" s="111"/>
      <c r="C684" s="111"/>
      <c r="D684" s="111"/>
      <c r="E684" s="72"/>
      <c r="F684" s="72"/>
      <c r="G684" s="72"/>
      <c r="H684" s="72"/>
      <c r="I684" s="75"/>
      <c r="J684" s="87"/>
      <c r="K684" s="90"/>
      <c r="L684" s="93"/>
      <c r="M684" s="93"/>
      <c r="N684" s="114"/>
      <c r="O684" s="34"/>
      <c r="P684" s="34"/>
      <c r="Q684" s="2">
        <f t="shared" si="1996"/>
        <v>7</v>
      </c>
      <c r="R684" s="2">
        <f t="shared" si="1992"/>
        <v>-7</v>
      </c>
      <c r="S684" s="2"/>
      <c r="T684" s="2"/>
      <c r="U684" s="9">
        <f t="shared" ref="U684" si="2008">0.098*J683*M683*0.5*R684</f>
        <v>0</v>
      </c>
      <c r="V684" s="9">
        <f t="shared" ref="V684" si="2009">0.098*J683*M683*Q684</f>
        <v>0</v>
      </c>
      <c r="W684" s="8">
        <f t="shared" ref="W684" si="2010">0.098*J683*M683*(S684-T684)</f>
        <v>0</v>
      </c>
      <c r="X684" s="84"/>
      <c r="Y684" s="82"/>
      <c r="Z684" s="101"/>
    </row>
    <row r="685" spans="1:26" ht="17" thickBot="1" x14ac:dyDescent="0.25">
      <c r="A685" s="109"/>
      <c r="B685" s="112"/>
      <c r="C685" s="112"/>
      <c r="D685" s="112"/>
      <c r="E685" s="73"/>
      <c r="F685" s="73"/>
      <c r="G685" s="73"/>
      <c r="H685" s="73"/>
      <c r="I685" s="76"/>
      <c r="J685" s="97"/>
      <c r="K685" s="96"/>
      <c r="L685" s="95"/>
      <c r="M685" s="95"/>
      <c r="N685" s="114"/>
      <c r="O685" s="34"/>
      <c r="P685" s="34"/>
      <c r="Q685" s="2">
        <f t="shared" si="1996"/>
        <v>5</v>
      </c>
      <c r="R685" s="2">
        <f t="shared" si="1992"/>
        <v>-5</v>
      </c>
      <c r="S685" s="2"/>
      <c r="T685" s="2"/>
      <c r="U685" s="9">
        <f t="shared" ref="U685" si="2011">0.098*J683*M683*0.5*R685</f>
        <v>0</v>
      </c>
      <c r="V685" s="9">
        <f t="shared" ref="V685" si="2012">0.098*J683*M683*Q685</f>
        <v>0</v>
      </c>
      <c r="W685" s="8">
        <f t="shared" ref="W685" si="2013">0.098*J683*M683*(S685-T685)</f>
        <v>0</v>
      </c>
      <c r="X685" s="84"/>
      <c r="Y685" s="82"/>
      <c r="Z685" s="101"/>
    </row>
    <row r="686" spans="1:26" x14ac:dyDescent="0.2">
      <c r="A686" s="19">
        <f t="shared" si="1875"/>
        <v>48</v>
      </c>
      <c r="B686" s="3" t="s">
        <v>5</v>
      </c>
      <c r="C686" s="3"/>
      <c r="D686" s="3"/>
      <c r="E686" s="3"/>
      <c r="F686" s="3">
        <f t="shared" ref="F686" si="2014">IF(B686="M", 50 + 0.91*(D686-152.4), IF(B686="F", 45.5 + 0.91*(D686-152.4), ""))</f>
        <v>-88.683999999999997</v>
      </c>
      <c r="G686" s="3"/>
      <c r="H686" s="3" t="e">
        <f t="shared" ref="H686" si="2015">E686/(D686*10^-2)^2</f>
        <v>#DIV/0!</v>
      </c>
      <c r="I686" s="116" t="s">
        <v>15</v>
      </c>
      <c r="J686" s="70" t="s">
        <v>31</v>
      </c>
      <c r="K686" s="70" t="s">
        <v>33</v>
      </c>
      <c r="L686" s="70" t="s">
        <v>17</v>
      </c>
      <c r="M686" s="70" t="s">
        <v>0</v>
      </c>
      <c r="N686" s="114"/>
      <c r="O686" s="4" t="s">
        <v>6</v>
      </c>
      <c r="P686" s="4" t="s">
        <v>34</v>
      </c>
      <c r="Q686" s="6" t="s">
        <v>2</v>
      </c>
      <c r="R686" s="17" t="s">
        <v>1</v>
      </c>
      <c r="S686" s="17" t="s">
        <v>25</v>
      </c>
      <c r="T686" s="17" t="s">
        <v>26</v>
      </c>
      <c r="U686" s="7" t="s">
        <v>21</v>
      </c>
      <c r="V686" s="7" t="s">
        <v>22</v>
      </c>
      <c r="W686" s="7" t="s">
        <v>24</v>
      </c>
      <c r="X686" s="84"/>
      <c r="Y686" s="82"/>
      <c r="Z686" s="125" t="s">
        <v>39</v>
      </c>
    </row>
    <row r="687" spans="1:26" x14ac:dyDescent="0.2">
      <c r="A687" s="98"/>
      <c r="B687" s="99"/>
      <c r="C687" s="99"/>
      <c r="D687" s="99"/>
      <c r="E687" s="99"/>
      <c r="F687" s="99"/>
      <c r="G687" s="99"/>
      <c r="H687" s="100"/>
      <c r="I687" s="75"/>
      <c r="J687" s="68"/>
      <c r="K687" s="68"/>
      <c r="L687" s="68"/>
      <c r="M687" s="68"/>
      <c r="N687" s="114"/>
      <c r="O687" s="34"/>
      <c r="P687" s="34"/>
      <c r="Q687" s="2">
        <v>15</v>
      </c>
      <c r="R687" s="2">
        <f t="shared" ref="R687:R692" si="2016">T687-Q687</f>
        <v>-15</v>
      </c>
      <c r="S687" s="2"/>
      <c r="T687" s="2"/>
      <c r="U687" s="2">
        <f t="shared" ref="U687" si="2017">0.098*J690*M690*0.5*R687</f>
        <v>0</v>
      </c>
      <c r="V687" s="10">
        <f t="shared" ref="V687" si="2018">0.098*J690*M690*Q687</f>
        <v>0</v>
      </c>
      <c r="W687" s="2">
        <f t="shared" ref="W687" si="2019">0.098*J690*M690*(S687-T687)</f>
        <v>0</v>
      </c>
      <c r="X687" s="84"/>
      <c r="Y687" s="82"/>
      <c r="Z687" s="125"/>
    </row>
    <row r="688" spans="1:26" x14ac:dyDescent="0.2">
      <c r="A688" s="101"/>
      <c r="B688" s="102"/>
      <c r="C688" s="102"/>
      <c r="D688" s="102"/>
      <c r="E688" s="102"/>
      <c r="F688" s="102"/>
      <c r="G688" s="102"/>
      <c r="H688" s="103"/>
      <c r="I688" s="75"/>
      <c r="J688" s="68"/>
      <c r="K688" s="68"/>
      <c r="L688" s="68"/>
      <c r="M688" s="68"/>
      <c r="N688" s="114"/>
      <c r="O688" s="34"/>
      <c r="P688" s="34"/>
      <c r="Q688" s="2">
        <f t="shared" ref="Q688:Q692" si="2020">Q687-2</f>
        <v>13</v>
      </c>
      <c r="R688" s="2">
        <f t="shared" si="2016"/>
        <v>-13</v>
      </c>
      <c r="S688" s="2"/>
      <c r="T688" s="2"/>
      <c r="U688" s="2">
        <f t="shared" ref="U688" si="2021">0.098*J690*M690*0.5*R688</f>
        <v>0</v>
      </c>
      <c r="V688" s="10">
        <f t="shared" ref="V688" si="2022">0.098*J690*M690*Q688</f>
        <v>0</v>
      </c>
      <c r="W688" s="2">
        <f t="shared" ref="W688" si="2023">0.098*J690*M690*(S688-T688)</f>
        <v>0</v>
      </c>
      <c r="X688" s="84"/>
      <c r="Y688" s="82"/>
      <c r="Z688" s="125"/>
    </row>
    <row r="689" spans="1:26" x14ac:dyDescent="0.2">
      <c r="A689" s="101"/>
      <c r="B689" s="102"/>
      <c r="C689" s="102"/>
      <c r="D689" s="102"/>
      <c r="E689" s="102"/>
      <c r="F689" s="102"/>
      <c r="G689" s="102"/>
      <c r="H689" s="103"/>
      <c r="I689" s="75"/>
      <c r="J689" s="69"/>
      <c r="K689" s="69"/>
      <c r="L689" s="69"/>
      <c r="M689" s="69"/>
      <c r="N689" s="114"/>
      <c r="O689" s="34"/>
      <c r="P689" s="34"/>
      <c r="Q689" s="2">
        <f t="shared" si="2020"/>
        <v>11</v>
      </c>
      <c r="R689" s="2">
        <f t="shared" si="2016"/>
        <v>-11</v>
      </c>
      <c r="S689" s="2"/>
      <c r="T689" s="2"/>
      <c r="U689" s="2">
        <f t="shared" ref="U689" si="2024">0.098*J690*M690*0.5*R689</f>
        <v>0</v>
      </c>
      <c r="V689" s="10">
        <f t="shared" ref="V689" si="2025">0.098*J690*M690*Q689</f>
        <v>0</v>
      </c>
      <c r="W689" s="2">
        <f t="shared" ref="W689" si="2026">0.098*J690*M690*(S689-T689)</f>
        <v>0</v>
      </c>
      <c r="X689" s="84"/>
      <c r="Y689" s="82"/>
      <c r="Z689" s="125"/>
    </row>
    <row r="690" spans="1:26" x14ac:dyDescent="0.2">
      <c r="A690" s="101"/>
      <c r="B690" s="102"/>
      <c r="C690" s="102"/>
      <c r="D690" s="102"/>
      <c r="E690" s="102"/>
      <c r="F690" s="102"/>
      <c r="G690" s="102"/>
      <c r="H690" s="103"/>
      <c r="I690" s="75"/>
      <c r="J690" s="86">
        <f t="shared" ref="J690" si="2027">(9*F686)/1000</f>
        <v>-0.79815599999999998</v>
      </c>
      <c r="K690" s="89"/>
      <c r="L690" s="92"/>
      <c r="M690" s="92"/>
      <c r="N690" s="114"/>
      <c r="O690" s="34"/>
      <c r="P690" s="34"/>
      <c r="Q690" s="2">
        <f t="shared" si="2020"/>
        <v>9</v>
      </c>
      <c r="R690" s="2">
        <f t="shared" si="2016"/>
        <v>-9</v>
      </c>
      <c r="S690" s="2"/>
      <c r="T690" s="2"/>
      <c r="U690" s="2">
        <f t="shared" ref="U690" si="2028">0.098*J690*M690*0.5*R690</f>
        <v>0</v>
      </c>
      <c r="V690" s="10">
        <f t="shared" ref="V690" si="2029">0.098*J690*M690*Q690</f>
        <v>0</v>
      </c>
      <c r="W690" s="2">
        <f t="shared" ref="W690" si="2030">0.098*J690*M690*(S690-T690)</f>
        <v>0</v>
      </c>
      <c r="X690" s="84"/>
      <c r="Y690" s="82"/>
      <c r="Z690" s="101">
        <f t="shared" ref="Z690" si="2031">_xlfn.STDEV.S(R687:R692)</f>
        <v>3.7416573867739413</v>
      </c>
    </row>
    <row r="691" spans="1:26" x14ac:dyDescent="0.2">
      <c r="A691" s="101"/>
      <c r="B691" s="102"/>
      <c r="C691" s="102"/>
      <c r="D691" s="102"/>
      <c r="E691" s="102"/>
      <c r="F691" s="102"/>
      <c r="G691" s="102"/>
      <c r="H691" s="103"/>
      <c r="I691" s="75"/>
      <c r="J691" s="87"/>
      <c r="K691" s="90"/>
      <c r="L691" s="93"/>
      <c r="M691" s="93"/>
      <c r="N691" s="114"/>
      <c r="O691" s="34"/>
      <c r="P691" s="34"/>
      <c r="Q691" s="2">
        <f t="shared" si="2020"/>
        <v>7</v>
      </c>
      <c r="R691" s="2">
        <f t="shared" si="2016"/>
        <v>-7</v>
      </c>
      <c r="S691" s="2"/>
      <c r="T691" s="2"/>
      <c r="U691" s="2">
        <f t="shared" ref="U691" si="2032">0.098*J690*M690*0.5*R691</f>
        <v>0</v>
      </c>
      <c r="V691" s="10">
        <f t="shared" ref="V691" si="2033">0.098*J690*M690*Q691</f>
        <v>0</v>
      </c>
      <c r="W691" s="2">
        <f t="shared" ref="W691" si="2034">0.098*J690*M690*(S691-T691)</f>
        <v>0</v>
      </c>
      <c r="X691" s="84"/>
      <c r="Y691" s="82"/>
      <c r="Z691" s="101"/>
    </row>
    <row r="692" spans="1:26" ht="17" thickBot="1" x14ac:dyDescent="0.25">
      <c r="A692" s="104"/>
      <c r="B692" s="105"/>
      <c r="C692" s="105"/>
      <c r="D692" s="105"/>
      <c r="E692" s="105"/>
      <c r="F692" s="105"/>
      <c r="G692" s="105"/>
      <c r="H692" s="106"/>
      <c r="I692" s="117"/>
      <c r="J692" s="88"/>
      <c r="K692" s="91"/>
      <c r="L692" s="94"/>
      <c r="M692" s="94"/>
      <c r="N692" s="115"/>
      <c r="O692" s="35"/>
      <c r="P692" s="35"/>
      <c r="Q692" s="20">
        <f t="shared" si="2020"/>
        <v>5</v>
      </c>
      <c r="R692" s="2">
        <f t="shared" si="2016"/>
        <v>-5</v>
      </c>
      <c r="S692" s="20"/>
      <c r="T692" s="20"/>
      <c r="U692" s="20">
        <f t="shared" ref="U692" si="2035">0.098*J690*M690*0.5*R692</f>
        <v>0</v>
      </c>
      <c r="V692" s="21">
        <f t="shared" ref="V692" si="2036">0.098*J690*M690*Q692</f>
        <v>0</v>
      </c>
      <c r="W692" s="20">
        <f t="shared" ref="W692" si="2037">0.098*J690*M690*(S692-T692)</f>
        <v>0</v>
      </c>
      <c r="X692" s="85"/>
      <c r="Y692" s="83"/>
      <c r="Z692" s="101"/>
    </row>
  </sheetData>
  <dataConsolidate/>
  <mergeCells count="1744">
    <mergeCell ref="Z644:Z647"/>
    <mergeCell ref="Z648:Z650"/>
    <mergeCell ref="Z651:Z654"/>
    <mergeCell ref="Z655:Z657"/>
    <mergeCell ref="Z658:Z661"/>
    <mergeCell ref="Z662:Z664"/>
    <mergeCell ref="Z665:Z668"/>
    <mergeCell ref="Z669:Z671"/>
    <mergeCell ref="Z672:Z675"/>
    <mergeCell ref="Z676:Z678"/>
    <mergeCell ref="Z679:Z682"/>
    <mergeCell ref="Z683:Z685"/>
    <mergeCell ref="Z686:Z689"/>
    <mergeCell ref="Z690:Z692"/>
    <mergeCell ref="Z581:Z584"/>
    <mergeCell ref="Z585:Z587"/>
    <mergeCell ref="Z588:Z591"/>
    <mergeCell ref="Z592:Z594"/>
    <mergeCell ref="Z595:Z598"/>
    <mergeCell ref="Z599:Z601"/>
    <mergeCell ref="Z602:Z605"/>
    <mergeCell ref="Z606:Z608"/>
    <mergeCell ref="Z609:Z612"/>
    <mergeCell ref="Z613:Z615"/>
    <mergeCell ref="Z616:Z619"/>
    <mergeCell ref="Z620:Z622"/>
    <mergeCell ref="Z623:Z626"/>
    <mergeCell ref="Z627:Z629"/>
    <mergeCell ref="Z630:Z633"/>
    <mergeCell ref="Z634:Z636"/>
    <mergeCell ref="Z637:Z640"/>
    <mergeCell ref="Z525:Z528"/>
    <mergeCell ref="Z529:Z531"/>
    <mergeCell ref="Z532:Z535"/>
    <mergeCell ref="Z536:Z538"/>
    <mergeCell ref="Z539:Z542"/>
    <mergeCell ref="Z543:Z545"/>
    <mergeCell ref="Z546:Z549"/>
    <mergeCell ref="Z550:Z552"/>
    <mergeCell ref="Z553:Z556"/>
    <mergeCell ref="Z557:Z559"/>
    <mergeCell ref="Z560:Z563"/>
    <mergeCell ref="Z564:Z566"/>
    <mergeCell ref="Z567:Z570"/>
    <mergeCell ref="Z571:Z573"/>
    <mergeCell ref="Z574:Z577"/>
    <mergeCell ref="Z578:Z580"/>
    <mergeCell ref="Z641:Z643"/>
    <mergeCell ref="Z466:Z468"/>
    <mergeCell ref="Z469:Z472"/>
    <mergeCell ref="Z473:Z475"/>
    <mergeCell ref="Z476:Z479"/>
    <mergeCell ref="Z480:Z482"/>
    <mergeCell ref="Z483:Z486"/>
    <mergeCell ref="Z487:Z489"/>
    <mergeCell ref="Z490:Z493"/>
    <mergeCell ref="Z494:Z496"/>
    <mergeCell ref="Z497:Z500"/>
    <mergeCell ref="Z501:Z503"/>
    <mergeCell ref="Z504:Z507"/>
    <mergeCell ref="Z508:Z510"/>
    <mergeCell ref="Z511:Z514"/>
    <mergeCell ref="Z515:Z517"/>
    <mergeCell ref="Z518:Z521"/>
    <mergeCell ref="Z522:Z524"/>
    <mergeCell ref="Z406:Z409"/>
    <mergeCell ref="Z410:Z412"/>
    <mergeCell ref="Z413:Z416"/>
    <mergeCell ref="Z417:Z419"/>
    <mergeCell ref="Z420:Z423"/>
    <mergeCell ref="Z424:Z426"/>
    <mergeCell ref="Z427:Z430"/>
    <mergeCell ref="Z431:Z433"/>
    <mergeCell ref="Z434:Z437"/>
    <mergeCell ref="Z438:Z440"/>
    <mergeCell ref="Z441:Z444"/>
    <mergeCell ref="Z445:Z447"/>
    <mergeCell ref="Z448:Z451"/>
    <mergeCell ref="Z452:Z454"/>
    <mergeCell ref="Z455:Z458"/>
    <mergeCell ref="Z459:Z461"/>
    <mergeCell ref="Z462:Z465"/>
    <mergeCell ref="Z347:Z349"/>
    <mergeCell ref="Z350:Z353"/>
    <mergeCell ref="Z354:Z356"/>
    <mergeCell ref="Z357:Z360"/>
    <mergeCell ref="Z361:Z363"/>
    <mergeCell ref="Z364:Z367"/>
    <mergeCell ref="Z368:Z370"/>
    <mergeCell ref="Z371:Z374"/>
    <mergeCell ref="Z375:Z377"/>
    <mergeCell ref="Z378:Z381"/>
    <mergeCell ref="Z382:Z384"/>
    <mergeCell ref="Z385:Z388"/>
    <mergeCell ref="Z389:Z391"/>
    <mergeCell ref="Z392:Z395"/>
    <mergeCell ref="Z396:Z398"/>
    <mergeCell ref="Z399:Z402"/>
    <mergeCell ref="Z403:Z405"/>
    <mergeCell ref="Z287:Z290"/>
    <mergeCell ref="Z291:Z293"/>
    <mergeCell ref="Z294:Z297"/>
    <mergeCell ref="Z298:Z300"/>
    <mergeCell ref="Z301:Z304"/>
    <mergeCell ref="Z305:Z307"/>
    <mergeCell ref="Z308:Z311"/>
    <mergeCell ref="Z312:Z314"/>
    <mergeCell ref="Z315:Z318"/>
    <mergeCell ref="Z319:Z321"/>
    <mergeCell ref="Z322:Z325"/>
    <mergeCell ref="Z326:Z328"/>
    <mergeCell ref="Z329:Z332"/>
    <mergeCell ref="Z333:Z335"/>
    <mergeCell ref="Z336:Z339"/>
    <mergeCell ref="Z340:Z342"/>
    <mergeCell ref="Z343:Z346"/>
    <mergeCell ref="Z228:Z230"/>
    <mergeCell ref="Z231:Z234"/>
    <mergeCell ref="Z235:Z237"/>
    <mergeCell ref="Z238:Z241"/>
    <mergeCell ref="Z242:Z244"/>
    <mergeCell ref="Z245:Z248"/>
    <mergeCell ref="Z249:Z251"/>
    <mergeCell ref="Z252:Z255"/>
    <mergeCell ref="Z256:Z258"/>
    <mergeCell ref="Z259:Z262"/>
    <mergeCell ref="Z263:Z265"/>
    <mergeCell ref="Z266:Z269"/>
    <mergeCell ref="Z270:Z272"/>
    <mergeCell ref="Z273:Z276"/>
    <mergeCell ref="Z277:Z279"/>
    <mergeCell ref="Z280:Z283"/>
    <mergeCell ref="Z284:Z286"/>
    <mergeCell ref="Z193:Z195"/>
    <mergeCell ref="Z196:Z199"/>
    <mergeCell ref="Z200:Z202"/>
    <mergeCell ref="Z203:Z206"/>
    <mergeCell ref="Z207:Z209"/>
    <mergeCell ref="Z210:Z213"/>
    <mergeCell ref="Z214:Z216"/>
    <mergeCell ref="Z217:Z220"/>
    <mergeCell ref="Z221:Z223"/>
    <mergeCell ref="Z224:Z227"/>
    <mergeCell ref="Z137:Z139"/>
    <mergeCell ref="Z140:Z143"/>
    <mergeCell ref="Z144:Z146"/>
    <mergeCell ref="Z147:Z150"/>
    <mergeCell ref="Z151:Z153"/>
    <mergeCell ref="Z154:Z157"/>
    <mergeCell ref="Z158:Z160"/>
    <mergeCell ref="Z161:Z164"/>
    <mergeCell ref="Z165:Z167"/>
    <mergeCell ref="Z168:Z171"/>
    <mergeCell ref="Z172:Z174"/>
    <mergeCell ref="Z175:Z178"/>
    <mergeCell ref="Z179:Z181"/>
    <mergeCell ref="Z88:Z90"/>
    <mergeCell ref="Z91:Z94"/>
    <mergeCell ref="Z95:Z97"/>
    <mergeCell ref="Z98:Z101"/>
    <mergeCell ref="Z102:Z104"/>
    <mergeCell ref="Z105:Z108"/>
    <mergeCell ref="Z109:Z111"/>
    <mergeCell ref="Z112:Z115"/>
    <mergeCell ref="Z116:Z118"/>
    <mergeCell ref="Z119:Z122"/>
    <mergeCell ref="Z123:Z125"/>
    <mergeCell ref="Z126:Z129"/>
    <mergeCell ref="Z130:Z132"/>
    <mergeCell ref="Z133:Z136"/>
    <mergeCell ref="Z182:Z185"/>
    <mergeCell ref="Z186:Z188"/>
    <mergeCell ref="Z189:Z192"/>
    <mergeCell ref="Z70:Z73"/>
    <mergeCell ref="M28:M31"/>
    <mergeCell ref="M25:M27"/>
    <mergeCell ref="M32:M34"/>
    <mergeCell ref="Y21:Y22"/>
    <mergeCell ref="Y23:Y34"/>
    <mergeCell ref="X24:X34"/>
    <mergeCell ref="X21:X22"/>
    <mergeCell ref="X63:X64"/>
    <mergeCell ref="Y63:Y64"/>
    <mergeCell ref="Y65:Y76"/>
    <mergeCell ref="X66:X76"/>
    <mergeCell ref="M67:M69"/>
    <mergeCell ref="Z74:Z76"/>
    <mergeCell ref="Z77:Z80"/>
    <mergeCell ref="Z81:Z83"/>
    <mergeCell ref="Z84:Z87"/>
    <mergeCell ref="A29:H34"/>
    <mergeCell ref="J21:J24"/>
    <mergeCell ref="L25:L27"/>
    <mergeCell ref="K25:K27"/>
    <mergeCell ref="J25:J27"/>
    <mergeCell ref="I21:I27"/>
    <mergeCell ref="L28:L31"/>
    <mergeCell ref="K28:K31"/>
    <mergeCell ref="M21:M24"/>
    <mergeCell ref="L21:L24"/>
    <mergeCell ref="K21:K24"/>
    <mergeCell ref="N21:N34"/>
    <mergeCell ref="J28:J31"/>
    <mergeCell ref="L32:L34"/>
    <mergeCell ref="K32:K34"/>
    <mergeCell ref="J32:J34"/>
    <mergeCell ref="A21:A27"/>
    <mergeCell ref="B21:B27"/>
    <mergeCell ref="C21:C27"/>
    <mergeCell ref="D21:D27"/>
    <mergeCell ref="E21:E27"/>
    <mergeCell ref="F21:F27"/>
    <mergeCell ref="I28:I34"/>
    <mergeCell ref="G21:G27"/>
    <mergeCell ref="A43:H48"/>
    <mergeCell ref="I42:I48"/>
    <mergeCell ref="J42:J45"/>
    <mergeCell ref="K42:K45"/>
    <mergeCell ref="L42:L45"/>
    <mergeCell ref="M42:M45"/>
    <mergeCell ref="M35:M38"/>
    <mergeCell ref="N35:N48"/>
    <mergeCell ref="X35:X36"/>
    <mergeCell ref="Y35:Y36"/>
    <mergeCell ref="Y37:Y48"/>
    <mergeCell ref="X38:X48"/>
    <mergeCell ref="M39:M41"/>
    <mergeCell ref="G35:G41"/>
    <mergeCell ref="I35:I41"/>
    <mergeCell ref="J35:J38"/>
    <mergeCell ref="K35:K38"/>
    <mergeCell ref="L35:L38"/>
    <mergeCell ref="J39:J41"/>
    <mergeCell ref="K39:K41"/>
    <mergeCell ref="L39:L41"/>
    <mergeCell ref="A35:A41"/>
    <mergeCell ref="B35:B41"/>
    <mergeCell ref="C35:C41"/>
    <mergeCell ref="D35:D41"/>
    <mergeCell ref="E35:E41"/>
    <mergeCell ref="F35:F41"/>
    <mergeCell ref="L56:L59"/>
    <mergeCell ref="M56:M59"/>
    <mergeCell ref="X49:X50"/>
    <mergeCell ref="Y49:Y50"/>
    <mergeCell ref="Y51:Y62"/>
    <mergeCell ref="X52:X62"/>
    <mergeCell ref="J53:J55"/>
    <mergeCell ref="K53:K55"/>
    <mergeCell ref="L53:L55"/>
    <mergeCell ref="M53:M55"/>
    <mergeCell ref="K49:K52"/>
    <mergeCell ref="L49:L52"/>
    <mergeCell ref="M49:M52"/>
    <mergeCell ref="J46:J48"/>
    <mergeCell ref="K46:K48"/>
    <mergeCell ref="L46:L48"/>
    <mergeCell ref="M46:M48"/>
    <mergeCell ref="D63:D69"/>
    <mergeCell ref="E63:E69"/>
    <mergeCell ref="F63:F69"/>
    <mergeCell ref="L112:L115"/>
    <mergeCell ref="M112:M115"/>
    <mergeCell ref="J102:J104"/>
    <mergeCell ref="A77:A83"/>
    <mergeCell ref="B77:B83"/>
    <mergeCell ref="C77:C83"/>
    <mergeCell ref="D77:D83"/>
    <mergeCell ref="E77:E83"/>
    <mergeCell ref="F77:F83"/>
    <mergeCell ref="G77:G83"/>
    <mergeCell ref="D105:D111"/>
    <mergeCell ref="C105:C111"/>
    <mergeCell ref="B105:B111"/>
    <mergeCell ref="A105:A111"/>
    <mergeCell ref="E105:E111"/>
    <mergeCell ref="K88:K90"/>
    <mergeCell ref="L88:L90"/>
    <mergeCell ref="M88:M90"/>
    <mergeCell ref="K91:K94"/>
    <mergeCell ref="J91:J94"/>
    <mergeCell ref="J74:J76"/>
    <mergeCell ref="K74:K76"/>
    <mergeCell ref="L74:L76"/>
    <mergeCell ref="M74:M76"/>
    <mergeCell ref="I70:I76"/>
    <mergeCell ref="J70:J73"/>
    <mergeCell ref="K70:K73"/>
    <mergeCell ref="L70:L73"/>
    <mergeCell ref="M70:M73"/>
    <mergeCell ref="M105:M108"/>
    <mergeCell ref="L105:L108"/>
    <mergeCell ref="I105:I111"/>
    <mergeCell ref="I98:I104"/>
    <mergeCell ref="I84:I90"/>
    <mergeCell ref="L84:L87"/>
    <mergeCell ref="M84:M87"/>
    <mergeCell ref="J88:J90"/>
    <mergeCell ref="M102:M104"/>
    <mergeCell ref="I168:I174"/>
    <mergeCell ref="N147:N160"/>
    <mergeCell ref="I154:I160"/>
    <mergeCell ref="L154:L157"/>
    <mergeCell ref="M154:M157"/>
    <mergeCell ref="A155:H160"/>
    <mergeCell ref="H105:H111"/>
    <mergeCell ref="N133:N146"/>
    <mergeCell ref="I140:I146"/>
    <mergeCell ref="L140:L143"/>
    <mergeCell ref="M140:M143"/>
    <mergeCell ref="A141:H146"/>
    <mergeCell ref="L102:L104"/>
    <mergeCell ref="K102:K104"/>
    <mergeCell ref="N119:N132"/>
    <mergeCell ref="I126:I132"/>
    <mergeCell ref="L126:L129"/>
    <mergeCell ref="M126:M129"/>
    <mergeCell ref="K130:K132"/>
    <mergeCell ref="F119:F125"/>
    <mergeCell ref="A127:H132"/>
    <mergeCell ref="G105:G111"/>
    <mergeCell ref="N105:N118"/>
    <mergeCell ref="N203:N216"/>
    <mergeCell ref="L210:L213"/>
    <mergeCell ref="A203:A209"/>
    <mergeCell ref="B203:B209"/>
    <mergeCell ref="C203:C209"/>
    <mergeCell ref="D203:D209"/>
    <mergeCell ref="I210:I216"/>
    <mergeCell ref="M210:M213"/>
    <mergeCell ref="J161:J164"/>
    <mergeCell ref="K161:K164"/>
    <mergeCell ref="E203:E209"/>
    <mergeCell ref="F203:F209"/>
    <mergeCell ref="F189:F195"/>
    <mergeCell ref="G189:G195"/>
    <mergeCell ref="I189:I195"/>
    <mergeCell ref="J189:J192"/>
    <mergeCell ref="K189:K192"/>
    <mergeCell ref="L189:L192"/>
    <mergeCell ref="M189:M192"/>
    <mergeCell ref="N189:N202"/>
    <mergeCell ref="A189:A195"/>
    <mergeCell ref="B189:B195"/>
    <mergeCell ref="C189:C195"/>
    <mergeCell ref="D189:D195"/>
    <mergeCell ref="E189:E195"/>
    <mergeCell ref="M193:M195"/>
    <mergeCell ref="K249:K251"/>
    <mergeCell ref="L249:L251"/>
    <mergeCell ref="A245:A251"/>
    <mergeCell ref="B245:B251"/>
    <mergeCell ref="C245:C251"/>
    <mergeCell ref="D245:D251"/>
    <mergeCell ref="E245:E251"/>
    <mergeCell ref="F245:F251"/>
    <mergeCell ref="L214:L216"/>
    <mergeCell ref="M214:M216"/>
    <mergeCell ref="J217:J220"/>
    <mergeCell ref="K217:K220"/>
    <mergeCell ref="L217:L220"/>
    <mergeCell ref="M217:M220"/>
    <mergeCell ref="H217:H223"/>
    <mergeCell ref="E217:E223"/>
    <mergeCell ref="F217:F223"/>
    <mergeCell ref="J242:J244"/>
    <mergeCell ref="K242:K244"/>
    <mergeCell ref="A175:A181"/>
    <mergeCell ref="B175:B181"/>
    <mergeCell ref="C175:C181"/>
    <mergeCell ref="D175:D181"/>
    <mergeCell ref="I252:I258"/>
    <mergeCell ref="J252:J255"/>
    <mergeCell ref="K252:K255"/>
    <mergeCell ref="L252:L255"/>
    <mergeCell ref="M252:M255"/>
    <mergeCell ref="M245:M248"/>
    <mergeCell ref="I238:I244"/>
    <mergeCell ref="J238:J241"/>
    <mergeCell ref="K238:K241"/>
    <mergeCell ref="L238:L241"/>
    <mergeCell ref="N217:N230"/>
    <mergeCell ref="L224:L227"/>
    <mergeCell ref="A217:A223"/>
    <mergeCell ref="B217:B223"/>
    <mergeCell ref="C217:C223"/>
    <mergeCell ref="D217:D223"/>
    <mergeCell ref="I224:I230"/>
    <mergeCell ref="M224:M227"/>
    <mergeCell ref="A225:H230"/>
    <mergeCell ref="J214:J216"/>
    <mergeCell ref="K214:K216"/>
    <mergeCell ref="M249:M251"/>
    <mergeCell ref="G245:G251"/>
    <mergeCell ref="I245:I251"/>
    <mergeCell ref="J245:J248"/>
    <mergeCell ref="K245:K248"/>
    <mergeCell ref="L245:L248"/>
    <mergeCell ref="J249:J251"/>
    <mergeCell ref="F301:F307"/>
    <mergeCell ref="A309:H314"/>
    <mergeCell ref="N287:N300"/>
    <mergeCell ref="I294:I300"/>
    <mergeCell ref="L294:L297"/>
    <mergeCell ref="M294:M297"/>
    <mergeCell ref="A295:H300"/>
    <mergeCell ref="N273:N286"/>
    <mergeCell ref="I280:I286"/>
    <mergeCell ref="L280:L283"/>
    <mergeCell ref="M280:M283"/>
    <mergeCell ref="J284:J286"/>
    <mergeCell ref="K284:K286"/>
    <mergeCell ref="L284:L286"/>
    <mergeCell ref="M284:M286"/>
    <mergeCell ref="F273:F279"/>
    <mergeCell ref="A281:H286"/>
    <mergeCell ref="J298:J300"/>
    <mergeCell ref="K298:K300"/>
    <mergeCell ref="L298:L300"/>
    <mergeCell ref="M298:M300"/>
    <mergeCell ref="A301:A307"/>
    <mergeCell ref="B301:B307"/>
    <mergeCell ref="C301:C307"/>
    <mergeCell ref="D301:D307"/>
    <mergeCell ref="E301:E307"/>
    <mergeCell ref="A287:A293"/>
    <mergeCell ref="B287:B293"/>
    <mergeCell ref="C287:C293"/>
    <mergeCell ref="D287:D293"/>
    <mergeCell ref="E287:E293"/>
    <mergeCell ref="F287:F293"/>
    <mergeCell ref="A49:A55"/>
    <mergeCell ref="B49:B55"/>
    <mergeCell ref="C49:C55"/>
    <mergeCell ref="D49:D55"/>
    <mergeCell ref="E49:E55"/>
    <mergeCell ref="F49:F55"/>
    <mergeCell ref="G49:G55"/>
    <mergeCell ref="I49:I55"/>
    <mergeCell ref="J49:J52"/>
    <mergeCell ref="M63:M66"/>
    <mergeCell ref="J60:J62"/>
    <mergeCell ref="K60:K62"/>
    <mergeCell ref="L60:L62"/>
    <mergeCell ref="M60:M62"/>
    <mergeCell ref="N49:N62"/>
    <mergeCell ref="H49:H55"/>
    <mergeCell ref="A57:H62"/>
    <mergeCell ref="I56:I62"/>
    <mergeCell ref="J56:J59"/>
    <mergeCell ref="K56:K59"/>
    <mergeCell ref="N63:N76"/>
    <mergeCell ref="G63:G69"/>
    <mergeCell ref="I63:I69"/>
    <mergeCell ref="J63:J66"/>
    <mergeCell ref="K63:K66"/>
    <mergeCell ref="L63:L66"/>
    <mergeCell ref="J67:J69"/>
    <mergeCell ref="K67:K69"/>
    <mergeCell ref="L67:L69"/>
    <mergeCell ref="A63:A69"/>
    <mergeCell ref="B63:B69"/>
    <mergeCell ref="C63:C69"/>
    <mergeCell ref="X105:X106"/>
    <mergeCell ref="Y105:Y106"/>
    <mergeCell ref="Y107:Y118"/>
    <mergeCell ref="X108:X118"/>
    <mergeCell ref="J109:J111"/>
    <mergeCell ref="K109:K111"/>
    <mergeCell ref="L109:L111"/>
    <mergeCell ref="M109:M111"/>
    <mergeCell ref="J112:J115"/>
    <mergeCell ref="K112:K115"/>
    <mergeCell ref="J105:J108"/>
    <mergeCell ref="K105:K108"/>
    <mergeCell ref="J130:J132"/>
    <mergeCell ref="L130:L132"/>
    <mergeCell ref="M130:M132"/>
    <mergeCell ref="A113:H118"/>
    <mergeCell ref="X77:X78"/>
    <mergeCell ref="Y77:Y78"/>
    <mergeCell ref="Y79:Y90"/>
    <mergeCell ref="X80:X90"/>
    <mergeCell ref="J81:J83"/>
    <mergeCell ref="K81:K83"/>
    <mergeCell ref="L81:L83"/>
    <mergeCell ref="M81:M83"/>
    <mergeCell ref="J84:J87"/>
    <mergeCell ref="K84:K87"/>
    <mergeCell ref="I77:I83"/>
    <mergeCell ref="J77:J80"/>
    <mergeCell ref="K77:K80"/>
    <mergeCell ref="L77:L80"/>
    <mergeCell ref="M77:M80"/>
    <mergeCell ref="N77:N90"/>
    <mergeCell ref="X119:X120"/>
    <mergeCell ref="Y119:Y120"/>
    <mergeCell ref="Y121:Y132"/>
    <mergeCell ref="X122:X132"/>
    <mergeCell ref="J123:J125"/>
    <mergeCell ref="K123:K125"/>
    <mergeCell ref="L123:L125"/>
    <mergeCell ref="M123:M125"/>
    <mergeCell ref="J126:J129"/>
    <mergeCell ref="K126:K129"/>
    <mergeCell ref="G119:G125"/>
    <mergeCell ref="M119:M122"/>
    <mergeCell ref="J116:J118"/>
    <mergeCell ref="K116:K118"/>
    <mergeCell ref="L116:L118"/>
    <mergeCell ref="M116:M118"/>
    <mergeCell ref="A119:A125"/>
    <mergeCell ref="B119:B125"/>
    <mergeCell ref="C119:C125"/>
    <mergeCell ref="D119:D125"/>
    <mergeCell ref="E119:E125"/>
    <mergeCell ref="I112:I118"/>
    <mergeCell ref="A147:A153"/>
    <mergeCell ref="B147:B153"/>
    <mergeCell ref="C147:C153"/>
    <mergeCell ref="D147:D153"/>
    <mergeCell ref="E147:E153"/>
    <mergeCell ref="X133:X134"/>
    <mergeCell ref="Y133:Y134"/>
    <mergeCell ref="Y135:Y146"/>
    <mergeCell ref="X136:X146"/>
    <mergeCell ref="J137:J139"/>
    <mergeCell ref="K137:K139"/>
    <mergeCell ref="L137:L139"/>
    <mergeCell ref="M137:M139"/>
    <mergeCell ref="J140:J143"/>
    <mergeCell ref="K140:K143"/>
    <mergeCell ref="G133:G139"/>
    <mergeCell ref="I133:I139"/>
    <mergeCell ref="J133:J136"/>
    <mergeCell ref="K133:K136"/>
    <mergeCell ref="L133:L136"/>
    <mergeCell ref="M133:M136"/>
    <mergeCell ref="A133:A139"/>
    <mergeCell ref="B133:B139"/>
    <mergeCell ref="C133:C139"/>
    <mergeCell ref="D133:D139"/>
    <mergeCell ref="E133:E139"/>
    <mergeCell ref="F133:F139"/>
    <mergeCell ref="J144:J146"/>
    <mergeCell ref="K144:K146"/>
    <mergeCell ref="L144:L146"/>
    <mergeCell ref="M144:M146"/>
    <mergeCell ref="K158:K160"/>
    <mergeCell ref="L158:L160"/>
    <mergeCell ref="M158:M160"/>
    <mergeCell ref="X147:X148"/>
    <mergeCell ref="Y147:Y148"/>
    <mergeCell ref="Y149:Y160"/>
    <mergeCell ref="X150:X160"/>
    <mergeCell ref="J151:J153"/>
    <mergeCell ref="K151:K153"/>
    <mergeCell ref="L151:L153"/>
    <mergeCell ref="M151:M153"/>
    <mergeCell ref="J154:J157"/>
    <mergeCell ref="K154:K157"/>
    <mergeCell ref="G147:G153"/>
    <mergeCell ref="I147:I153"/>
    <mergeCell ref="J147:J150"/>
    <mergeCell ref="K147:K150"/>
    <mergeCell ref="L147:L150"/>
    <mergeCell ref="M147:M150"/>
    <mergeCell ref="H147:H153"/>
    <mergeCell ref="M165:M167"/>
    <mergeCell ref="L161:L164"/>
    <mergeCell ref="M161:M164"/>
    <mergeCell ref="N161:N174"/>
    <mergeCell ref="I161:I167"/>
    <mergeCell ref="M172:M174"/>
    <mergeCell ref="L168:L171"/>
    <mergeCell ref="M168:M171"/>
    <mergeCell ref="X175:X176"/>
    <mergeCell ref="Y175:Y176"/>
    <mergeCell ref="Y177:Y188"/>
    <mergeCell ref="X178:X188"/>
    <mergeCell ref="J179:J181"/>
    <mergeCell ref="K179:K181"/>
    <mergeCell ref="M179:M181"/>
    <mergeCell ref="J182:J185"/>
    <mergeCell ref="K182:K185"/>
    <mergeCell ref="L186:L188"/>
    <mergeCell ref="M186:M188"/>
    <mergeCell ref="L179:L181"/>
    <mergeCell ref="F175:F181"/>
    <mergeCell ref="G175:G181"/>
    <mergeCell ref="I175:I181"/>
    <mergeCell ref="E175:E181"/>
    <mergeCell ref="I196:I202"/>
    <mergeCell ref="J196:J199"/>
    <mergeCell ref="K196:K199"/>
    <mergeCell ref="L196:L199"/>
    <mergeCell ref="M196:M199"/>
    <mergeCell ref="J200:J202"/>
    <mergeCell ref="K200:K202"/>
    <mergeCell ref="L200:L202"/>
    <mergeCell ref="M200:M202"/>
    <mergeCell ref="X189:X190"/>
    <mergeCell ref="Y189:Y190"/>
    <mergeCell ref="Y191:Y202"/>
    <mergeCell ref="X192:X202"/>
    <mergeCell ref="J193:J195"/>
    <mergeCell ref="K193:K195"/>
    <mergeCell ref="L193:L195"/>
    <mergeCell ref="H175:H181"/>
    <mergeCell ref="J175:J178"/>
    <mergeCell ref="K175:K178"/>
    <mergeCell ref="L175:L178"/>
    <mergeCell ref="M175:M178"/>
    <mergeCell ref="N175:N188"/>
    <mergeCell ref="I182:I188"/>
    <mergeCell ref="L182:L185"/>
    <mergeCell ref="M182:M185"/>
    <mergeCell ref="A183:H188"/>
    <mergeCell ref="J186:J188"/>
    <mergeCell ref="K186:K188"/>
    <mergeCell ref="X203:X204"/>
    <mergeCell ref="Y203:Y204"/>
    <mergeCell ref="Y205:Y216"/>
    <mergeCell ref="X206:X216"/>
    <mergeCell ref="J207:J209"/>
    <mergeCell ref="K207:K209"/>
    <mergeCell ref="L207:L209"/>
    <mergeCell ref="M207:M209"/>
    <mergeCell ref="J210:J213"/>
    <mergeCell ref="K210:K213"/>
    <mergeCell ref="G203:G209"/>
    <mergeCell ref="I203:I209"/>
    <mergeCell ref="J203:J206"/>
    <mergeCell ref="K203:K206"/>
    <mergeCell ref="L203:L206"/>
    <mergeCell ref="M203:M206"/>
    <mergeCell ref="B231:B237"/>
    <mergeCell ref="C231:C237"/>
    <mergeCell ref="D231:D237"/>
    <mergeCell ref="E231:E237"/>
    <mergeCell ref="X217:X218"/>
    <mergeCell ref="Y217:Y218"/>
    <mergeCell ref="Y219:Y230"/>
    <mergeCell ref="X220:X230"/>
    <mergeCell ref="J221:J223"/>
    <mergeCell ref="K221:K223"/>
    <mergeCell ref="L221:L223"/>
    <mergeCell ref="M221:M223"/>
    <mergeCell ref="J224:J227"/>
    <mergeCell ref="K224:K227"/>
    <mergeCell ref="G217:G223"/>
    <mergeCell ref="I217:I223"/>
    <mergeCell ref="L242:L244"/>
    <mergeCell ref="M242:M244"/>
    <mergeCell ref="N245:N258"/>
    <mergeCell ref="A239:H244"/>
    <mergeCell ref="H245:H251"/>
    <mergeCell ref="A253:H258"/>
    <mergeCell ref="M231:M234"/>
    <mergeCell ref="N231:N244"/>
    <mergeCell ref="X231:X232"/>
    <mergeCell ref="Y231:Y232"/>
    <mergeCell ref="Y233:Y244"/>
    <mergeCell ref="X234:X244"/>
    <mergeCell ref="M235:M237"/>
    <mergeCell ref="M238:M241"/>
    <mergeCell ref="F231:F237"/>
    <mergeCell ref="G231:G237"/>
    <mergeCell ref="I231:I237"/>
    <mergeCell ref="J231:J234"/>
    <mergeCell ref="K231:K234"/>
    <mergeCell ref="L231:L234"/>
    <mergeCell ref="J235:J237"/>
    <mergeCell ref="K235:K237"/>
    <mergeCell ref="L235:L237"/>
    <mergeCell ref="H231:H237"/>
    <mergeCell ref="J256:J258"/>
    <mergeCell ref="K256:K258"/>
    <mergeCell ref="L256:L258"/>
    <mergeCell ref="M256:M258"/>
    <mergeCell ref="X245:X246"/>
    <mergeCell ref="Y245:Y246"/>
    <mergeCell ref="Y247:Y258"/>
    <mergeCell ref="X248:X258"/>
    <mergeCell ref="J228:J230"/>
    <mergeCell ref="K228:K230"/>
    <mergeCell ref="L228:L230"/>
    <mergeCell ref="M228:M230"/>
    <mergeCell ref="A231:A237"/>
    <mergeCell ref="J270:J272"/>
    <mergeCell ref="K270:K272"/>
    <mergeCell ref="L270:L272"/>
    <mergeCell ref="M270:M272"/>
    <mergeCell ref="A273:A279"/>
    <mergeCell ref="B273:B279"/>
    <mergeCell ref="C273:C279"/>
    <mergeCell ref="D273:D279"/>
    <mergeCell ref="E273:E279"/>
    <mergeCell ref="X259:X260"/>
    <mergeCell ref="Y259:Y260"/>
    <mergeCell ref="Y261:Y272"/>
    <mergeCell ref="X262:X272"/>
    <mergeCell ref="J263:J265"/>
    <mergeCell ref="K263:K265"/>
    <mergeCell ref="L263:L265"/>
    <mergeCell ref="M263:M265"/>
    <mergeCell ref="J266:J269"/>
    <mergeCell ref="K266:K269"/>
    <mergeCell ref="G259:G265"/>
    <mergeCell ref="I259:I265"/>
    <mergeCell ref="J259:J262"/>
    <mergeCell ref="K259:K262"/>
    <mergeCell ref="L259:L262"/>
    <mergeCell ref="M259:M262"/>
    <mergeCell ref="H259:H265"/>
    <mergeCell ref="A259:A265"/>
    <mergeCell ref="B259:B265"/>
    <mergeCell ref="C259:C265"/>
    <mergeCell ref="D259:D265"/>
    <mergeCell ref="E259:E265"/>
    <mergeCell ref="F259:F265"/>
    <mergeCell ref="X273:X274"/>
    <mergeCell ref="Y273:Y274"/>
    <mergeCell ref="Y275:Y286"/>
    <mergeCell ref="X276:X286"/>
    <mergeCell ref="J277:J279"/>
    <mergeCell ref="K277:K279"/>
    <mergeCell ref="L277:L279"/>
    <mergeCell ref="M277:M279"/>
    <mergeCell ref="J280:J283"/>
    <mergeCell ref="K280:K283"/>
    <mergeCell ref="G273:G279"/>
    <mergeCell ref="I273:I279"/>
    <mergeCell ref="J273:J276"/>
    <mergeCell ref="K273:K276"/>
    <mergeCell ref="L273:L276"/>
    <mergeCell ref="M273:M276"/>
    <mergeCell ref="H273:H279"/>
    <mergeCell ref="N259:N272"/>
    <mergeCell ref="I266:I272"/>
    <mergeCell ref="L266:L269"/>
    <mergeCell ref="M266:M269"/>
    <mergeCell ref="A267:H272"/>
    <mergeCell ref="L308:L311"/>
    <mergeCell ref="M308:M311"/>
    <mergeCell ref="J312:J314"/>
    <mergeCell ref="K312:K314"/>
    <mergeCell ref="L312:L314"/>
    <mergeCell ref="M312:M314"/>
    <mergeCell ref="X287:X288"/>
    <mergeCell ref="Y287:Y288"/>
    <mergeCell ref="Y289:Y300"/>
    <mergeCell ref="X290:X300"/>
    <mergeCell ref="J291:J293"/>
    <mergeCell ref="K291:K293"/>
    <mergeCell ref="L291:L293"/>
    <mergeCell ref="M291:M293"/>
    <mergeCell ref="J294:J297"/>
    <mergeCell ref="K294:K297"/>
    <mergeCell ref="G287:G293"/>
    <mergeCell ref="I287:I293"/>
    <mergeCell ref="J287:J290"/>
    <mergeCell ref="K287:K290"/>
    <mergeCell ref="L287:L290"/>
    <mergeCell ref="M287:M290"/>
    <mergeCell ref="H287:H293"/>
    <mergeCell ref="G315:G321"/>
    <mergeCell ref="I315:I321"/>
    <mergeCell ref="J315:J318"/>
    <mergeCell ref="K315:K318"/>
    <mergeCell ref="L315:L318"/>
    <mergeCell ref="M315:M318"/>
    <mergeCell ref="H315:H321"/>
    <mergeCell ref="A315:A321"/>
    <mergeCell ref="B315:B321"/>
    <mergeCell ref="C315:C321"/>
    <mergeCell ref="D315:D321"/>
    <mergeCell ref="E315:E321"/>
    <mergeCell ref="F315:F321"/>
    <mergeCell ref="X301:X302"/>
    <mergeCell ref="Y301:Y302"/>
    <mergeCell ref="Y303:Y314"/>
    <mergeCell ref="X304:X314"/>
    <mergeCell ref="J305:J307"/>
    <mergeCell ref="K305:K307"/>
    <mergeCell ref="L305:L307"/>
    <mergeCell ref="M305:M307"/>
    <mergeCell ref="J308:J311"/>
    <mergeCell ref="K308:K311"/>
    <mergeCell ref="G301:G307"/>
    <mergeCell ref="I301:I307"/>
    <mergeCell ref="J301:J304"/>
    <mergeCell ref="K301:K304"/>
    <mergeCell ref="L301:L304"/>
    <mergeCell ref="M301:M304"/>
    <mergeCell ref="H301:H307"/>
    <mergeCell ref="N301:N314"/>
    <mergeCell ref="I308:I314"/>
    <mergeCell ref="I322:I328"/>
    <mergeCell ref="J322:J325"/>
    <mergeCell ref="K322:K325"/>
    <mergeCell ref="L322:L325"/>
    <mergeCell ref="M322:M325"/>
    <mergeCell ref="J326:J328"/>
    <mergeCell ref="K326:K328"/>
    <mergeCell ref="L326:L328"/>
    <mergeCell ref="M326:M328"/>
    <mergeCell ref="N315:N328"/>
    <mergeCell ref="X315:X316"/>
    <mergeCell ref="Y315:Y316"/>
    <mergeCell ref="Y317:Y328"/>
    <mergeCell ref="X318:X328"/>
    <mergeCell ref="J319:J321"/>
    <mergeCell ref="K319:K321"/>
    <mergeCell ref="L319:L321"/>
    <mergeCell ref="M319:M321"/>
    <mergeCell ref="Y329:Y330"/>
    <mergeCell ref="Y331:Y342"/>
    <mergeCell ref="X332:X342"/>
    <mergeCell ref="J333:J335"/>
    <mergeCell ref="K333:K335"/>
    <mergeCell ref="L333:L335"/>
    <mergeCell ref="M333:M335"/>
    <mergeCell ref="G329:G335"/>
    <mergeCell ref="I329:I335"/>
    <mergeCell ref="J329:J332"/>
    <mergeCell ref="K329:K332"/>
    <mergeCell ref="L329:L332"/>
    <mergeCell ref="M329:M332"/>
    <mergeCell ref="A329:A335"/>
    <mergeCell ref="B329:B335"/>
    <mergeCell ref="C329:C335"/>
    <mergeCell ref="D329:D335"/>
    <mergeCell ref="E329:E335"/>
    <mergeCell ref="F329:F335"/>
    <mergeCell ref="A343:A349"/>
    <mergeCell ref="B343:B349"/>
    <mergeCell ref="C343:C349"/>
    <mergeCell ref="D343:D349"/>
    <mergeCell ref="E343:E349"/>
    <mergeCell ref="F343:F349"/>
    <mergeCell ref="I336:I342"/>
    <mergeCell ref="J336:J339"/>
    <mergeCell ref="K336:K339"/>
    <mergeCell ref="L336:L339"/>
    <mergeCell ref="M336:M339"/>
    <mergeCell ref="J340:J342"/>
    <mergeCell ref="K340:K342"/>
    <mergeCell ref="L340:L342"/>
    <mergeCell ref="M340:M342"/>
    <mergeCell ref="N329:N342"/>
    <mergeCell ref="X329:X330"/>
    <mergeCell ref="B357:B363"/>
    <mergeCell ref="C357:C363"/>
    <mergeCell ref="D357:D363"/>
    <mergeCell ref="E357:E363"/>
    <mergeCell ref="F357:F363"/>
    <mergeCell ref="I350:I356"/>
    <mergeCell ref="J350:J353"/>
    <mergeCell ref="K350:K353"/>
    <mergeCell ref="L350:L353"/>
    <mergeCell ref="M350:M353"/>
    <mergeCell ref="J354:J356"/>
    <mergeCell ref="K354:K356"/>
    <mergeCell ref="L354:L356"/>
    <mergeCell ref="M354:M356"/>
    <mergeCell ref="N343:N356"/>
    <mergeCell ref="X343:X344"/>
    <mergeCell ref="Y343:Y344"/>
    <mergeCell ref="Y345:Y356"/>
    <mergeCell ref="X346:X356"/>
    <mergeCell ref="J347:J349"/>
    <mergeCell ref="K347:K349"/>
    <mergeCell ref="L347:L349"/>
    <mergeCell ref="M347:M349"/>
    <mergeCell ref="G343:G349"/>
    <mergeCell ref="I343:I349"/>
    <mergeCell ref="J343:J346"/>
    <mergeCell ref="K343:K346"/>
    <mergeCell ref="L343:L346"/>
    <mergeCell ref="M343:M346"/>
    <mergeCell ref="I364:I370"/>
    <mergeCell ref="J364:J367"/>
    <mergeCell ref="K364:K367"/>
    <mergeCell ref="L364:L367"/>
    <mergeCell ref="M364:M367"/>
    <mergeCell ref="J368:J370"/>
    <mergeCell ref="K368:K370"/>
    <mergeCell ref="L368:L370"/>
    <mergeCell ref="M368:M370"/>
    <mergeCell ref="N357:N370"/>
    <mergeCell ref="X357:X358"/>
    <mergeCell ref="Y357:Y358"/>
    <mergeCell ref="Y359:Y370"/>
    <mergeCell ref="X360:X370"/>
    <mergeCell ref="J361:J363"/>
    <mergeCell ref="K361:K363"/>
    <mergeCell ref="L361:L363"/>
    <mergeCell ref="M361:M363"/>
    <mergeCell ref="I357:I363"/>
    <mergeCell ref="J357:J360"/>
    <mergeCell ref="K357:K360"/>
    <mergeCell ref="L357:L360"/>
    <mergeCell ref="M357:M360"/>
    <mergeCell ref="I378:I384"/>
    <mergeCell ref="J378:J381"/>
    <mergeCell ref="K378:K381"/>
    <mergeCell ref="L378:L381"/>
    <mergeCell ref="M378:M381"/>
    <mergeCell ref="J382:J384"/>
    <mergeCell ref="K382:K384"/>
    <mergeCell ref="L382:L384"/>
    <mergeCell ref="M382:M384"/>
    <mergeCell ref="N371:N384"/>
    <mergeCell ref="X371:X372"/>
    <mergeCell ref="Y371:Y372"/>
    <mergeCell ref="Y373:Y384"/>
    <mergeCell ref="X374:X384"/>
    <mergeCell ref="J375:J377"/>
    <mergeCell ref="K375:K377"/>
    <mergeCell ref="L375:L377"/>
    <mergeCell ref="M375:M377"/>
    <mergeCell ref="I371:I377"/>
    <mergeCell ref="J371:J374"/>
    <mergeCell ref="K371:K374"/>
    <mergeCell ref="L371:L374"/>
    <mergeCell ref="M371:M374"/>
    <mergeCell ref="I392:I398"/>
    <mergeCell ref="J392:J395"/>
    <mergeCell ref="K392:K395"/>
    <mergeCell ref="L392:L395"/>
    <mergeCell ref="M392:M395"/>
    <mergeCell ref="J396:J398"/>
    <mergeCell ref="K396:K398"/>
    <mergeCell ref="L396:L398"/>
    <mergeCell ref="M396:M398"/>
    <mergeCell ref="N385:N398"/>
    <mergeCell ref="X385:X386"/>
    <mergeCell ref="Y385:Y386"/>
    <mergeCell ref="Y387:Y398"/>
    <mergeCell ref="X388:X398"/>
    <mergeCell ref="J389:J391"/>
    <mergeCell ref="K389:K391"/>
    <mergeCell ref="L389:L391"/>
    <mergeCell ref="M389:M391"/>
    <mergeCell ref="I385:I391"/>
    <mergeCell ref="J385:J388"/>
    <mergeCell ref="K385:K388"/>
    <mergeCell ref="L385:L388"/>
    <mergeCell ref="M385:M388"/>
    <mergeCell ref="N399:N412"/>
    <mergeCell ref="X399:X400"/>
    <mergeCell ref="Y399:Y400"/>
    <mergeCell ref="Y401:Y412"/>
    <mergeCell ref="X402:X412"/>
    <mergeCell ref="J403:J405"/>
    <mergeCell ref="K403:K405"/>
    <mergeCell ref="L403:L405"/>
    <mergeCell ref="M403:M405"/>
    <mergeCell ref="G399:G405"/>
    <mergeCell ref="I399:I405"/>
    <mergeCell ref="J399:J402"/>
    <mergeCell ref="K399:K402"/>
    <mergeCell ref="L399:L402"/>
    <mergeCell ref="M399:M402"/>
    <mergeCell ref="A399:A405"/>
    <mergeCell ref="B399:B405"/>
    <mergeCell ref="C399:C405"/>
    <mergeCell ref="D399:D405"/>
    <mergeCell ref="E399:E405"/>
    <mergeCell ref="F399:F405"/>
    <mergeCell ref="G413:G419"/>
    <mergeCell ref="I413:I419"/>
    <mergeCell ref="J413:J416"/>
    <mergeCell ref="K413:K416"/>
    <mergeCell ref="L413:L416"/>
    <mergeCell ref="M413:M416"/>
    <mergeCell ref="A413:A419"/>
    <mergeCell ref="B413:B419"/>
    <mergeCell ref="C413:C419"/>
    <mergeCell ref="D413:D419"/>
    <mergeCell ref="E413:E419"/>
    <mergeCell ref="F413:F419"/>
    <mergeCell ref="I406:I412"/>
    <mergeCell ref="J406:J409"/>
    <mergeCell ref="K406:K409"/>
    <mergeCell ref="L406:L409"/>
    <mergeCell ref="M406:M409"/>
    <mergeCell ref="J410:J412"/>
    <mergeCell ref="K410:K412"/>
    <mergeCell ref="L410:L412"/>
    <mergeCell ref="M410:M412"/>
    <mergeCell ref="I420:I426"/>
    <mergeCell ref="J420:J423"/>
    <mergeCell ref="K420:K423"/>
    <mergeCell ref="L420:L423"/>
    <mergeCell ref="M420:M423"/>
    <mergeCell ref="J424:J426"/>
    <mergeCell ref="K424:K426"/>
    <mergeCell ref="L424:L426"/>
    <mergeCell ref="M424:M426"/>
    <mergeCell ref="N413:N426"/>
    <mergeCell ref="X413:X414"/>
    <mergeCell ref="Y413:Y414"/>
    <mergeCell ref="Y415:Y426"/>
    <mergeCell ref="X416:X426"/>
    <mergeCell ref="J417:J419"/>
    <mergeCell ref="K417:K419"/>
    <mergeCell ref="L417:L419"/>
    <mergeCell ref="M417:M419"/>
    <mergeCell ref="N427:N440"/>
    <mergeCell ref="X427:X428"/>
    <mergeCell ref="Y427:Y428"/>
    <mergeCell ref="Y429:Y440"/>
    <mergeCell ref="X430:X440"/>
    <mergeCell ref="J431:J433"/>
    <mergeCell ref="K431:K433"/>
    <mergeCell ref="L431:L433"/>
    <mergeCell ref="M431:M433"/>
    <mergeCell ref="G427:G433"/>
    <mergeCell ref="I427:I433"/>
    <mergeCell ref="J427:J430"/>
    <mergeCell ref="K427:K430"/>
    <mergeCell ref="L427:L430"/>
    <mergeCell ref="M427:M430"/>
    <mergeCell ref="A427:A433"/>
    <mergeCell ref="B427:B433"/>
    <mergeCell ref="C427:C433"/>
    <mergeCell ref="D427:D433"/>
    <mergeCell ref="E427:E433"/>
    <mergeCell ref="F427:F433"/>
    <mergeCell ref="G441:G447"/>
    <mergeCell ref="I441:I447"/>
    <mergeCell ref="J441:J444"/>
    <mergeCell ref="K441:K444"/>
    <mergeCell ref="L441:L444"/>
    <mergeCell ref="M441:M444"/>
    <mergeCell ref="A441:A447"/>
    <mergeCell ref="B441:B447"/>
    <mergeCell ref="C441:C447"/>
    <mergeCell ref="D441:D447"/>
    <mergeCell ref="E441:E447"/>
    <mergeCell ref="F441:F447"/>
    <mergeCell ref="I434:I440"/>
    <mergeCell ref="J434:J437"/>
    <mergeCell ref="K434:K437"/>
    <mergeCell ref="L434:L437"/>
    <mergeCell ref="M434:M437"/>
    <mergeCell ref="J438:J440"/>
    <mergeCell ref="K438:K440"/>
    <mergeCell ref="L438:L440"/>
    <mergeCell ref="M438:M440"/>
    <mergeCell ref="I448:I454"/>
    <mergeCell ref="J448:J451"/>
    <mergeCell ref="K448:K451"/>
    <mergeCell ref="L448:L451"/>
    <mergeCell ref="M448:M451"/>
    <mergeCell ref="J452:J454"/>
    <mergeCell ref="K452:K454"/>
    <mergeCell ref="L452:L454"/>
    <mergeCell ref="M452:M454"/>
    <mergeCell ref="N441:N454"/>
    <mergeCell ref="X441:X442"/>
    <mergeCell ref="Y441:Y442"/>
    <mergeCell ref="Y443:Y454"/>
    <mergeCell ref="X444:X454"/>
    <mergeCell ref="J445:J447"/>
    <mergeCell ref="K445:K447"/>
    <mergeCell ref="L445:L447"/>
    <mergeCell ref="M445:M447"/>
    <mergeCell ref="N455:N468"/>
    <mergeCell ref="X455:X456"/>
    <mergeCell ref="Y455:Y456"/>
    <mergeCell ref="Y457:Y468"/>
    <mergeCell ref="X458:X468"/>
    <mergeCell ref="J459:J461"/>
    <mergeCell ref="K459:K461"/>
    <mergeCell ref="L459:L461"/>
    <mergeCell ref="M459:M461"/>
    <mergeCell ref="G455:G461"/>
    <mergeCell ref="I455:I461"/>
    <mergeCell ref="J455:J458"/>
    <mergeCell ref="K455:K458"/>
    <mergeCell ref="L455:L458"/>
    <mergeCell ref="M455:M458"/>
    <mergeCell ref="A455:A461"/>
    <mergeCell ref="B455:B461"/>
    <mergeCell ref="C455:C461"/>
    <mergeCell ref="D455:D461"/>
    <mergeCell ref="E455:E461"/>
    <mergeCell ref="F455:F461"/>
    <mergeCell ref="G469:G475"/>
    <mergeCell ref="I469:I475"/>
    <mergeCell ref="J469:J472"/>
    <mergeCell ref="K469:K472"/>
    <mergeCell ref="L469:L472"/>
    <mergeCell ref="M469:M472"/>
    <mergeCell ref="A469:A475"/>
    <mergeCell ref="B469:B475"/>
    <mergeCell ref="C469:C475"/>
    <mergeCell ref="D469:D475"/>
    <mergeCell ref="E469:E475"/>
    <mergeCell ref="F469:F475"/>
    <mergeCell ref="I462:I468"/>
    <mergeCell ref="J462:J465"/>
    <mergeCell ref="K462:K465"/>
    <mergeCell ref="L462:L465"/>
    <mergeCell ref="M462:M465"/>
    <mergeCell ref="J466:J468"/>
    <mergeCell ref="K466:K468"/>
    <mergeCell ref="L466:L468"/>
    <mergeCell ref="M466:M468"/>
    <mergeCell ref="I476:I482"/>
    <mergeCell ref="J476:J479"/>
    <mergeCell ref="K476:K479"/>
    <mergeCell ref="L476:L479"/>
    <mergeCell ref="M476:M479"/>
    <mergeCell ref="J480:J482"/>
    <mergeCell ref="K480:K482"/>
    <mergeCell ref="L480:L482"/>
    <mergeCell ref="M480:M482"/>
    <mergeCell ref="N469:N482"/>
    <mergeCell ref="X469:X470"/>
    <mergeCell ref="Y469:Y470"/>
    <mergeCell ref="Y471:Y482"/>
    <mergeCell ref="X472:X482"/>
    <mergeCell ref="J473:J475"/>
    <mergeCell ref="K473:K475"/>
    <mergeCell ref="L473:L475"/>
    <mergeCell ref="M473:M475"/>
    <mergeCell ref="N483:N496"/>
    <mergeCell ref="X483:X484"/>
    <mergeCell ref="Y483:Y484"/>
    <mergeCell ref="Y485:Y496"/>
    <mergeCell ref="X486:X496"/>
    <mergeCell ref="J487:J489"/>
    <mergeCell ref="K487:K489"/>
    <mergeCell ref="L487:L489"/>
    <mergeCell ref="M487:M489"/>
    <mergeCell ref="G483:G489"/>
    <mergeCell ref="I483:I489"/>
    <mergeCell ref="J483:J486"/>
    <mergeCell ref="K483:K486"/>
    <mergeCell ref="L483:L486"/>
    <mergeCell ref="M483:M486"/>
    <mergeCell ref="A483:A489"/>
    <mergeCell ref="B483:B489"/>
    <mergeCell ref="C483:C489"/>
    <mergeCell ref="D483:D489"/>
    <mergeCell ref="E483:E489"/>
    <mergeCell ref="F483:F489"/>
    <mergeCell ref="G497:G503"/>
    <mergeCell ref="I497:I503"/>
    <mergeCell ref="J497:J500"/>
    <mergeCell ref="K497:K500"/>
    <mergeCell ref="L497:L500"/>
    <mergeCell ref="M497:M500"/>
    <mergeCell ref="A497:A503"/>
    <mergeCell ref="B497:B503"/>
    <mergeCell ref="C497:C503"/>
    <mergeCell ref="D497:D503"/>
    <mergeCell ref="E497:E503"/>
    <mergeCell ref="F497:F503"/>
    <mergeCell ref="I490:I496"/>
    <mergeCell ref="J490:J493"/>
    <mergeCell ref="K490:K493"/>
    <mergeCell ref="L490:L493"/>
    <mergeCell ref="M490:M493"/>
    <mergeCell ref="J494:J496"/>
    <mergeCell ref="K494:K496"/>
    <mergeCell ref="L494:L496"/>
    <mergeCell ref="M494:M496"/>
    <mergeCell ref="I504:I510"/>
    <mergeCell ref="J504:J507"/>
    <mergeCell ref="K504:K507"/>
    <mergeCell ref="L504:L507"/>
    <mergeCell ref="M504:M507"/>
    <mergeCell ref="J508:J510"/>
    <mergeCell ref="K508:K510"/>
    <mergeCell ref="L508:L510"/>
    <mergeCell ref="M508:M510"/>
    <mergeCell ref="N497:N510"/>
    <mergeCell ref="X497:X498"/>
    <mergeCell ref="Y497:Y498"/>
    <mergeCell ref="Y499:Y510"/>
    <mergeCell ref="X500:X510"/>
    <mergeCell ref="J501:J503"/>
    <mergeCell ref="K501:K503"/>
    <mergeCell ref="L501:L503"/>
    <mergeCell ref="M501:M503"/>
    <mergeCell ref="I518:I524"/>
    <mergeCell ref="J518:J521"/>
    <mergeCell ref="K518:K521"/>
    <mergeCell ref="L518:L521"/>
    <mergeCell ref="M518:M521"/>
    <mergeCell ref="J522:J524"/>
    <mergeCell ref="K522:K524"/>
    <mergeCell ref="L522:L524"/>
    <mergeCell ref="M522:M524"/>
    <mergeCell ref="N511:N524"/>
    <mergeCell ref="X511:X512"/>
    <mergeCell ref="Y511:Y512"/>
    <mergeCell ref="Y513:Y524"/>
    <mergeCell ref="X514:X524"/>
    <mergeCell ref="J515:J517"/>
    <mergeCell ref="K515:K517"/>
    <mergeCell ref="L515:L517"/>
    <mergeCell ref="M515:M517"/>
    <mergeCell ref="I511:I517"/>
    <mergeCell ref="J511:J514"/>
    <mergeCell ref="K511:K514"/>
    <mergeCell ref="L511:L514"/>
    <mergeCell ref="M511:M514"/>
    <mergeCell ref="I532:I538"/>
    <mergeCell ref="J532:J535"/>
    <mergeCell ref="K532:K535"/>
    <mergeCell ref="L532:L535"/>
    <mergeCell ref="M532:M535"/>
    <mergeCell ref="J536:J538"/>
    <mergeCell ref="K536:K538"/>
    <mergeCell ref="L536:L538"/>
    <mergeCell ref="M536:M538"/>
    <mergeCell ref="N525:N538"/>
    <mergeCell ref="X525:X526"/>
    <mergeCell ref="Y525:Y526"/>
    <mergeCell ref="Y527:Y538"/>
    <mergeCell ref="X528:X538"/>
    <mergeCell ref="J529:J531"/>
    <mergeCell ref="K529:K531"/>
    <mergeCell ref="L529:L531"/>
    <mergeCell ref="M529:M531"/>
    <mergeCell ref="I525:I531"/>
    <mergeCell ref="J525:J528"/>
    <mergeCell ref="K525:K528"/>
    <mergeCell ref="L525:L528"/>
    <mergeCell ref="M525:M528"/>
    <mergeCell ref="N539:N552"/>
    <mergeCell ref="X539:X540"/>
    <mergeCell ref="Y539:Y540"/>
    <mergeCell ref="Y541:Y552"/>
    <mergeCell ref="X542:X552"/>
    <mergeCell ref="J543:J545"/>
    <mergeCell ref="K543:K545"/>
    <mergeCell ref="L543:L545"/>
    <mergeCell ref="M543:M545"/>
    <mergeCell ref="G539:G545"/>
    <mergeCell ref="I539:I545"/>
    <mergeCell ref="J539:J542"/>
    <mergeCell ref="K539:K542"/>
    <mergeCell ref="L539:L542"/>
    <mergeCell ref="M539:M542"/>
    <mergeCell ref="A539:A545"/>
    <mergeCell ref="B539:B545"/>
    <mergeCell ref="C539:C545"/>
    <mergeCell ref="D539:D545"/>
    <mergeCell ref="E539:E545"/>
    <mergeCell ref="F539:F545"/>
    <mergeCell ref="G553:G559"/>
    <mergeCell ref="I553:I559"/>
    <mergeCell ref="J553:J556"/>
    <mergeCell ref="K553:K556"/>
    <mergeCell ref="L553:L556"/>
    <mergeCell ref="M553:M556"/>
    <mergeCell ref="A553:A559"/>
    <mergeCell ref="B553:B559"/>
    <mergeCell ref="C553:C559"/>
    <mergeCell ref="D553:D559"/>
    <mergeCell ref="E553:E559"/>
    <mergeCell ref="F553:F559"/>
    <mergeCell ref="I546:I552"/>
    <mergeCell ref="J546:J549"/>
    <mergeCell ref="K546:K549"/>
    <mergeCell ref="L546:L549"/>
    <mergeCell ref="M546:M549"/>
    <mergeCell ref="J550:J552"/>
    <mergeCell ref="K550:K552"/>
    <mergeCell ref="L550:L552"/>
    <mergeCell ref="M550:M552"/>
    <mergeCell ref="I560:I566"/>
    <mergeCell ref="J560:J563"/>
    <mergeCell ref="K560:K563"/>
    <mergeCell ref="L560:L563"/>
    <mergeCell ref="M560:M563"/>
    <mergeCell ref="J564:J566"/>
    <mergeCell ref="K564:K566"/>
    <mergeCell ref="L564:L566"/>
    <mergeCell ref="M564:M566"/>
    <mergeCell ref="N553:N566"/>
    <mergeCell ref="X553:X554"/>
    <mergeCell ref="Y553:Y554"/>
    <mergeCell ref="Y555:Y566"/>
    <mergeCell ref="X556:X566"/>
    <mergeCell ref="J557:J559"/>
    <mergeCell ref="K557:K559"/>
    <mergeCell ref="L557:L559"/>
    <mergeCell ref="M557:M559"/>
    <mergeCell ref="N567:N580"/>
    <mergeCell ref="X567:X568"/>
    <mergeCell ref="Y567:Y568"/>
    <mergeCell ref="Y569:Y580"/>
    <mergeCell ref="X570:X580"/>
    <mergeCell ref="J571:J573"/>
    <mergeCell ref="K571:K573"/>
    <mergeCell ref="L571:L573"/>
    <mergeCell ref="M571:M573"/>
    <mergeCell ref="G567:G573"/>
    <mergeCell ref="I567:I573"/>
    <mergeCell ref="J567:J570"/>
    <mergeCell ref="K567:K570"/>
    <mergeCell ref="L567:L570"/>
    <mergeCell ref="M567:M570"/>
    <mergeCell ref="A567:A573"/>
    <mergeCell ref="B567:B573"/>
    <mergeCell ref="C567:C573"/>
    <mergeCell ref="D567:D573"/>
    <mergeCell ref="E567:E573"/>
    <mergeCell ref="F567:F573"/>
    <mergeCell ref="G581:G587"/>
    <mergeCell ref="I581:I587"/>
    <mergeCell ref="J581:J584"/>
    <mergeCell ref="K581:K584"/>
    <mergeCell ref="L581:L584"/>
    <mergeCell ref="M581:M584"/>
    <mergeCell ref="A581:A587"/>
    <mergeCell ref="B581:B587"/>
    <mergeCell ref="C581:C587"/>
    <mergeCell ref="D581:D587"/>
    <mergeCell ref="E581:E587"/>
    <mergeCell ref="F581:F587"/>
    <mergeCell ref="I574:I580"/>
    <mergeCell ref="J574:J577"/>
    <mergeCell ref="K574:K577"/>
    <mergeCell ref="L574:L577"/>
    <mergeCell ref="M574:M577"/>
    <mergeCell ref="J578:J580"/>
    <mergeCell ref="K578:K580"/>
    <mergeCell ref="L578:L580"/>
    <mergeCell ref="M578:M580"/>
    <mergeCell ref="I588:I594"/>
    <mergeCell ref="J588:J591"/>
    <mergeCell ref="K588:K591"/>
    <mergeCell ref="L588:L591"/>
    <mergeCell ref="M588:M591"/>
    <mergeCell ref="J592:J594"/>
    <mergeCell ref="K592:K594"/>
    <mergeCell ref="L592:L594"/>
    <mergeCell ref="M592:M594"/>
    <mergeCell ref="N581:N594"/>
    <mergeCell ref="X581:X582"/>
    <mergeCell ref="Y581:Y582"/>
    <mergeCell ref="Y583:Y594"/>
    <mergeCell ref="X584:X594"/>
    <mergeCell ref="J585:J587"/>
    <mergeCell ref="K585:K587"/>
    <mergeCell ref="L585:L587"/>
    <mergeCell ref="M585:M587"/>
    <mergeCell ref="N595:N608"/>
    <mergeCell ref="X595:X596"/>
    <mergeCell ref="Y595:Y596"/>
    <mergeCell ref="Y597:Y608"/>
    <mergeCell ref="X598:X608"/>
    <mergeCell ref="J599:J601"/>
    <mergeCell ref="K599:K601"/>
    <mergeCell ref="L599:L601"/>
    <mergeCell ref="M599:M601"/>
    <mergeCell ref="G595:G601"/>
    <mergeCell ref="I595:I601"/>
    <mergeCell ref="J595:J598"/>
    <mergeCell ref="K595:K598"/>
    <mergeCell ref="L595:L598"/>
    <mergeCell ref="M595:M598"/>
    <mergeCell ref="A595:A601"/>
    <mergeCell ref="B595:B601"/>
    <mergeCell ref="C595:C601"/>
    <mergeCell ref="D595:D601"/>
    <mergeCell ref="E595:E601"/>
    <mergeCell ref="F595:F601"/>
    <mergeCell ref="G609:G615"/>
    <mergeCell ref="I609:I615"/>
    <mergeCell ref="J609:J612"/>
    <mergeCell ref="K609:K612"/>
    <mergeCell ref="L609:L612"/>
    <mergeCell ref="M609:M612"/>
    <mergeCell ref="A609:A615"/>
    <mergeCell ref="B609:B615"/>
    <mergeCell ref="C609:C615"/>
    <mergeCell ref="D609:D615"/>
    <mergeCell ref="E609:E615"/>
    <mergeCell ref="F609:F615"/>
    <mergeCell ref="I602:I608"/>
    <mergeCell ref="J602:J605"/>
    <mergeCell ref="K602:K605"/>
    <mergeCell ref="L602:L605"/>
    <mergeCell ref="M602:M605"/>
    <mergeCell ref="J606:J608"/>
    <mergeCell ref="K606:K608"/>
    <mergeCell ref="L606:L608"/>
    <mergeCell ref="M606:M608"/>
    <mergeCell ref="I616:I622"/>
    <mergeCell ref="J616:J619"/>
    <mergeCell ref="K616:K619"/>
    <mergeCell ref="L616:L619"/>
    <mergeCell ref="M616:M619"/>
    <mergeCell ref="J620:J622"/>
    <mergeCell ref="K620:K622"/>
    <mergeCell ref="L620:L622"/>
    <mergeCell ref="M620:M622"/>
    <mergeCell ref="N609:N622"/>
    <mergeCell ref="X609:X610"/>
    <mergeCell ref="Y609:Y610"/>
    <mergeCell ref="Y611:Y622"/>
    <mergeCell ref="X612:X622"/>
    <mergeCell ref="J613:J615"/>
    <mergeCell ref="K613:K615"/>
    <mergeCell ref="L613:L615"/>
    <mergeCell ref="M613:M615"/>
    <mergeCell ref="I630:I636"/>
    <mergeCell ref="J630:J633"/>
    <mergeCell ref="K630:K633"/>
    <mergeCell ref="L630:L633"/>
    <mergeCell ref="M630:M633"/>
    <mergeCell ref="J634:J636"/>
    <mergeCell ref="K634:K636"/>
    <mergeCell ref="L634:L636"/>
    <mergeCell ref="M634:M636"/>
    <mergeCell ref="N623:N636"/>
    <mergeCell ref="X623:X624"/>
    <mergeCell ref="Y623:Y624"/>
    <mergeCell ref="Y625:Y636"/>
    <mergeCell ref="X626:X636"/>
    <mergeCell ref="J627:J629"/>
    <mergeCell ref="K627:K629"/>
    <mergeCell ref="L627:L629"/>
    <mergeCell ref="M627:M629"/>
    <mergeCell ref="I623:I629"/>
    <mergeCell ref="J623:J626"/>
    <mergeCell ref="K623:K626"/>
    <mergeCell ref="L623:L626"/>
    <mergeCell ref="M623:M626"/>
    <mergeCell ref="I644:I650"/>
    <mergeCell ref="J644:J647"/>
    <mergeCell ref="K644:K647"/>
    <mergeCell ref="L644:L647"/>
    <mergeCell ref="M644:M647"/>
    <mergeCell ref="J648:J650"/>
    <mergeCell ref="K648:K650"/>
    <mergeCell ref="L648:L650"/>
    <mergeCell ref="M648:M650"/>
    <mergeCell ref="N637:N650"/>
    <mergeCell ref="X637:X638"/>
    <mergeCell ref="Y637:Y638"/>
    <mergeCell ref="Y639:Y650"/>
    <mergeCell ref="X640:X650"/>
    <mergeCell ref="J641:J643"/>
    <mergeCell ref="K641:K643"/>
    <mergeCell ref="L641:L643"/>
    <mergeCell ref="M641:M643"/>
    <mergeCell ref="I637:I643"/>
    <mergeCell ref="J637:J640"/>
    <mergeCell ref="K637:K640"/>
    <mergeCell ref="L637:L640"/>
    <mergeCell ref="M637:M640"/>
    <mergeCell ref="N651:N664"/>
    <mergeCell ref="X651:X652"/>
    <mergeCell ref="Y651:Y652"/>
    <mergeCell ref="Y653:Y664"/>
    <mergeCell ref="X654:X664"/>
    <mergeCell ref="J655:J657"/>
    <mergeCell ref="K655:K657"/>
    <mergeCell ref="L655:L657"/>
    <mergeCell ref="M655:M657"/>
    <mergeCell ref="G651:G657"/>
    <mergeCell ref="I651:I657"/>
    <mergeCell ref="J651:J654"/>
    <mergeCell ref="K651:K654"/>
    <mergeCell ref="L651:L654"/>
    <mergeCell ref="M651:M654"/>
    <mergeCell ref="A651:A657"/>
    <mergeCell ref="B651:B657"/>
    <mergeCell ref="C651:C657"/>
    <mergeCell ref="D651:D657"/>
    <mergeCell ref="E651:E657"/>
    <mergeCell ref="F651:F657"/>
    <mergeCell ref="G665:G671"/>
    <mergeCell ref="I665:I671"/>
    <mergeCell ref="J665:J668"/>
    <mergeCell ref="K665:K668"/>
    <mergeCell ref="L665:L668"/>
    <mergeCell ref="M665:M668"/>
    <mergeCell ref="A665:A671"/>
    <mergeCell ref="B665:B671"/>
    <mergeCell ref="C665:C671"/>
    <mergeCell ref="D665:D671"/>
    <mergeCell ref="E665:E671"/>
    <mergeCell ref="F665:F671"/>
    <mergeCell ref="I658:I664"/>
    <mergeCell ref="J658:J661"/>
    <mergeCell ref="K658:K661"/>
    <mergeCell ref="L658:L661"/>
    <mergeCell ref="M658:M661"/>
    <mergeCell ref="J662:J664"/>
    <mergeCell ref="K662:K664"/>
    <mergeCell ref="L662:L664"/>
    <mergeCell ref="M662:M664"/>
    <mergeCell ref="I672:I678"/>
    <mergeCell ref="J672:J675"/>
    <mergeCell ref="K672:K675"/>
    <mergeCell ref="L672:L675"/>
    <mergeCell ref="M672:M675"/>
    <mergeCell ref="J676:J678"/>
    <mergeCell ref="K676:K678"/>
    <mergeCell ref="L676:L678"/>
    <mergeCell ref="M676:M678"/>
    <mergeCell ref="N665:N678"/>
    <mergeCell ref="X665:X666"/>
    <mergeCell ref="Y665:Y666"/>
    <mergeCell ref="Y667:Y678"/>
    <mergeCell ref="X668:X678"/>
    <mergeCell ref="J669:J671"/>
    <mergeCell ref="K669:K671"/>
    <mergeCell ref="L669:L671"/>
    <mergeCell ref="M669:M671"/>
    <mergeCell ref="N679:N692"/>
    <mergeCell ref="X679:X680"/>
    <mergeCell ref="Y679:Y680"/>
    <mergeCell ref="Y681:Y692"/>
    <mergeCell ref="X682:X692"/>
    <mergeCell ref="J683:J685"/>
    <mergeCell ref="K683:K685"/>
    <mergeCell ref="L683:L685"/>
    <mergeCell ref="M683:M685"/>
    <mergeCell ref="G679:G685"/>
    <mergeCell ref="I679:I685"/>
    <mergeCell ref="J679:J682"/>
    <mergeCell ref="K679:K682"/>
    <mergeCell ref="L679:L682"/>
    <mergeCell ref="M679:M682"/>
    <mergeCell ref="A679:A685"/>
    <mergeCell ref="B679:B685"/>
    <mergeCell ref="C679:C685"/>
    <mergeCell ref="D679:D685"/>
    <mergeCell ref="E679:E685"/>
    <mergeCell ref="F679:F685"/>
    <mergeCell ref="I686:I692"/>
    <mergeCell ref="J686:J689"/>
    <mergeCell ref="K686:K689"/>
    <mergeCell ref="L686:L689"/>
    <mergeCell ref="M686:M689"/>
    <mergeCell ref="J690:J692"/>
    <mergeCell ref="K690:K692"/>
    <mergeCell ref="L690:L692"/>
    <mergeCell ref="M690:M692"/>
    <mergeCell ref="H63:H69"/>
    <mergeCell ref="A71:H76"/>
    <mergeCell ref="H77:H83"/>
    <mergeCell ref="A85:H90"/>
    <mergeCell ref="H21:H27"/>
    <mergeCell ref="H35:H41"/>
    <mergeCell ref="A365:H370"/>
    <mergeCell ref="H371:H377"/>
    <mergeCell ref="A379:H384"/>
    <mergeCell ref="H385:H391"/>
    <mergeCell ref="A393:H398"/>
    <mergeCell ref="H399:H405"/>
    <mergeCell ref="A323:H328"/>
    <mergeCell ref="H329:H335"/>
    <mergeCell ref="A337:H342"/>
    <mergeCell ref="H343:H349"/>
    <mergeCell ref="A351:H356"/>
    <mergeCell ref="H357:H363"/>
    <mergeCell ref="H189:H195"/>
    <mergeCell ref="A197:H202"/>
    <mergeCell ref="H203:H209"/>
    <mergeCell ref="A211:H216"/>
    <mergeCell ref="G385:G391"/>
    <mergeCell ref="A385:A391"/>
    <mergeCell ref="B385:B391"/>
    <mergeCell ref="C385:C391"/>
    <mergeCell ref="D385:D391"/>
    <mergeCell ref="E385:E391"/>
    <mergeCell ref="G357:G363"/>
    <mergeCell ref="A357:A363"/>
    <mergeCell ref="F385:F391"/>
    <mergeCell ref="G371:G377"/>
    <mergeCell ref="A371:A377"/>
    <mergeCell ref="B371:B377"/>
    <mergeCell ref="C371:C377"/>
    <mergeCell ref="D371:D377"/>
    <mergeCell ref="E371:E377"/>
    <mergeCell ref="F371:F377"/>
    <mergeCell ref="A491:H496"/>
    <mergeCell ref="H497:H503"/>
    <mergeCell ref="A505:H510"/>
    <mergeCell ref="H511:H517"/>
    <mergeCell ref="A519:H524"/>
    <mergeCell ref="H525:H531"/>
    <mergeCell ref="A449:H454"/>
    <mergeCell ref="H455:H461"/>
    <mergeCell ref="A463:H468"/>
    <mergeCell ref="H469:H475"/>
    <mergeCell ref="A477:H482"/>
    <mergeCell ref="H483:H489"/>
    <mergeCell ref="A407:H412"/>
    <mergeCell ref="H413:H419"/>
    <mergeCell ref="A421:H426"/>
    <mergeCell ref="H427:H433"/>
    <mergeCell ref="A435:H440"/>
    <mergeCell ref="H441:H447"/>
    <mergeCell ref="G525:G531"/>
    <mergeCell ref="A525:A531"/>
    <mergeCell ref="B525:B531"/>
    <mergeCell ref="C525:C531"/>
    <mergeCell ref="D525:D531"/>
    <mergeCell ref="E525:E531"/>
    <mergeCell ref="F525:F531"/>
    <mergeCell ref="G511:G517"/>
    <mergeCell ref="A511:A517"/>
    <mergeCell ref="B511:B517"/>
    <mergeCell ref="C511:C517"/>
    <mergeCell ref="D511:D517"/>
    <mergeCell ref="E511:E517"/>
    <mergeCell ref="F511:F517"/>
    <mergeCell ref="A617:H622"/>
    <mergeCell ref="H623:H629"/>
    <mergeCell ref="A631:H636"/>
    <mergeCell ref="H637:H643"/>
    <mergeCell ref="A645:H650"/>
    <mergeCell ref="H651:H657"/>
    <mergeCell ref="A575:H580"/>
    <mergeCell ref="H581:H587"/>
    <mergeCell ref="A589:H594"/>
    <mergeCell ref="H595:H601"/>
    <mergeCell ref="A603:H608"/>
    <mergeCell ref="H609:H615"/>
    <mergeCell ref="A533:H538"/>
    <mergeCell ref="H539:H545"/>
    <mergeCell ref="A547:H552"/>
    <mergeCell ref="H553:H559"/>
    <mergeCell ref="A561:H566"/>
    <mergeCell ref="H567:H573"/>
    <mergeCell ref="G637:G643"/>
    <mergeCell ref="A637:A643"/>
    <mergeCell ref="B637:B643"/>
    <mergeCell ref="C637:C643"/>
    <mergeCell ref="D637:D643"/>
    <mergeCell ref="E637:E643"/>
    <mergeCell ref="F637:F643"/>
    <mergeCell ref="G623:G629"/>
    <mergeCell ref="A623:A629"/>
    <mergeCell ref="B623:B629"/>
    <mergeCell ref="C623:C629"/>
    <mergeCell ref="D623:D629"/>
    <mergeCell ref="E623:E629"/>
    <mergeCell ref="F623:F629"/>
    <mergeCell ref="A659:H664"/>
    <mergeCell ref="H665:H671"/>
    <mergeCell ref="A673:H678"/>
    <mergeCell ref="H679:H685"/>
    <mergeCell ref="A687:H692"/>
    <mergeCell ref="F105:F111"/>
    <mergeCell ref="A99:H104"/>
    <mergeCell ref="X94:X104"/>
    <mergeCell ref="Y93:Y104"/>
    <mergeCell ref="F147:F153"/>
    <mergeCell ref="G161:G167"/>
    <mergeCell ref="A161:A167"/>
    <mergeCell ref="B161:B167"/>
    <mergeCell ref="C161:C167"/>
    <mergeCell ref="D161:D167"/>
    <mergeCell ref="E161:E167"/>
    <mergeCell ref="F161:F167"/>
    <mergeCell ref="D91:D97"/>
    <mergeCell ref="C91:C97"/>
    <mergeCell ref="B91:B97"/>
    <mergeCell ref="A91:A97"/>
    <mergeCell ref="G91:G97"/>
    <mergeCell ref="F91:F97"/>
    <mergeCell ref="E91:E97"/>
    <mergeCell ref="Y91:Y92"/>
    <mergeCell ref="X91:X92"/>
    <mergeCell ref="L91:L94"/>
    <mergeCell ref="M98:M101"/>
    <mergeCell ref="L98:L101"/>
    <mergeCell ref="H133:H139"/>
    <mergeCell ref="L119:L122"/>
    <mergeCell ref="K119:K122"/>
    <mergeCell ref="J119:J122"/>
    <mergeCell ref="I119:I125"/>
    <mergeCell ref="H119:H125"/>
    <mergeCell ref="X161:X162"/>
    <mergeCell ref="Y161:Y162"/>
    <mergeCell ref="Y163:Y174"/>
    <mergeCell ref="X164:X174"/>
    <mergeCell ref="J168:J171"/>
    <mergeCell ref="K168:K171"/>
    <mergeCell ref="J172:J174"/>
    <mergeCell ref="K172:K174"/>
    <mergeCell ref="L172:L174"/>
    <mergeCell ref="H91:H97"/>
    <mergeCell ref="I91:I97"/>
    <mergeCell ref="K98:K101"/>
    <mergeCell ref="J98:J101"/>
    <mergeCell ref="M95:M97"/>
    <mergeCell ref="L95:L97"/>
    <mergeCell ref="K95:K97"/>
    <mergeCell ref="J95:J97"/>
    <mergeCell ref="H161:H167"/>
    <mergeCell ref="A169:H174"/>
    <mergeCell ref="J158:J160"/>
    <mergeCell ref="J165:J167"/>
    <mergeCell ref="K165:K167"/>
    <mergeCell ref="L165:L167"/>
    <mergeCell ref="AD21:AD23"/>
    <mergeCell ref="AD24:AD26"/>
    <mergeCell ref="AD27:AD29"/>
    <mergeCell ref="AD30:AD32"/>
    <mergeCell ref="AD33:AD35"/>
    <mergeCell ref="AD36:AD38"/>
    <mergeCell ref="AD39:AD41"/>
    <mergeCell ref="AD42:AD44"/>
    <mergeCell ref="AD45:AD47"/>
    <mergeCell ref="AD48:AD50"/>
    <mergeCell ref="AD51:AD53"/>
    <mergeCell ref="AD54:AD56"/>
    <mergeCell ref="AD57:AD59"/>
    <mergeCell ref="AD60:AD62"/>
    <mergeCell ref="AD63:AD65"/>
    <mergeCell ref="AD66:AD68"/>
    <mergeCell ref="M91:M94"/>
    <mergeCell ref="N91:N104"/>
    <mergeCell ref="Z32:Z34"/>
    <mergeCell ref="Z28:Z31"/>
    <mergeCell ref="Z25:Z27"/>
    <mergeCell ref="Z21:Z24"/>
    <mergeCell ref="Z35:Z38"/>
    <mergeCell ref="Z39:Z41"/>
    <mergeCell ref="Z42:Z45"/>
    <mergeCell ref="Z46:Z48"/>
    <mergeCell ref="Z49:Z52"/>
    <mergeCell ref="Z53:Z55"/>
    <mergeCell ref="Z56:Z59"/>
    <mergeCell ref="Z60:Z62"/>
    <mergeCell ref="Z63:Z66"/>
    <mergeCell ref="Z67:Z69"/>
  </mergeCells>
  <phoneticPr fontId="2" type="noConversion"/>
  <dataValidations disablePrompts="1" count="1">
    <dataValidation type="list" allowBlank="1" showInputMessage="1" showErrorMessage="1" sqref="B15:B16 C16:D16" xr:uid="{F36AD80B-8ADA-E943-8E25-CB1BDC257F9F}">
      <formula1>$DO$8:$DO$9</formula1>
    </dataValidation>
  </dataValidations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CA59B-FF69-CB4A-BE2D-378EDD8FD76F}">
  <dimension ref="A1:AC21"/>
  <sheetViews>
    <sheetView topLeftCell="E1" zoomScale="169" workbookViewId="0">
      <selection activeCell="AC6" sqref="AC6"/>
    </sheetView>
  </sheetViews>
  <sheetFormatPr baseColWidth="10" defaultRowHeight="16" x14ac:dyDescent="0.2"/>
  <cols>
    <col min="1" max="1" width="11.83203125" bestFit="1" customWidth="1"/>
    <col min="2" max="2" width="6.6640625" bestFit="1" customWidth="1"/>
    <col min="3" max="3" width="7" bestFit="1" customWidth="1"/>
    <col min="4" max="4" width="13.33203125" bestFit="1" customWidth="1"/>
    <col min="5" max="5" width="13.5" bestFit="1" customWidth="1"/>
    <col min="6" max="6" width="11.1640625" bestFit="1" customWidth="1"/>
    <col min="7" max="7" width="10" bestFit="1" customWidth="1"/>
    <col min="8" max="8" width="23" bestFit="1" customWidth="1"/>
    <col min="9" max="9" width="23" customWidth="1"/>
    <col min="10" max="10" width="21.5" bestFit="1" customWidth="1"/>
    <col min="11" max="11" width="26" bestFit="1" customWidth="1"/>
    <col min="12" max="12" width="44.1640625" bestFit="1" customWidth="1"/>
    <col min="13" max="13" width="45.33203125" bestFit="1" customWidth="1"/>
    <col min="14" max="14" width="29.33203125" customWidth="1"/>
    <col min="15" max="15" width="29.33203125" bestFit="1" customWidth="1"/>
    <col min="16" max="17" width="44.1640625" bestFit="1" customWidth="1"/>
    <col min="18" max="18" width="28" bestFit="1" customWidth="1"/>
    <col min="19" max="19" width="14.5" bestFit="1" customWidth="1"/>
    <col min="20" max="20" width="26.6640625" bestFit="1" customWidth="1"/>
    <col min="22" max="22" width="25.6640625" bestFit="1" customWidth="1"/>
  </cols>
  <sheetData>
    <row r="1" spans="1:29" x14ac:dyDescent="0.2">
      <c r="A1" s="33" t="s">
        <v>8</v>
      </c>
      <c r="B1" s="25" t="s">
        <v>3</v>
      </c>
      <c r="C1" s="63" t="s">
        <v>7</v>
      </c>
      <c r="D1" s="63" t="s">
        <v>9</v>
      </c>
      <c r="E1" s="129" t="s">
        <v>11</v>
      </c>
      <c r="F1" s="26" t="s">
        <v>10</v>
      </c>
      <c r="G1" s="39" t="s">
        <v>32</v>
      </c>
      <c r="H1" s="39" t="s">
        <v>52</v>
      </c>
      <c r="I1" s="39" t="s">
        <v>57</v>
      </c>
      <c r="J1" s="39" t="s">
        <v>58</v>
      </c>
      <c r="K1" s="39" t="s">
        <v>59</v>
      </c>
      <c r="L1" s="39" t="s">
        <v>53</v>
      </c>
      <c r="M1" s="39" t="s">
        <v>60</v>
      </c>
      <c r="N1" s="39" t="s">
        <v>54</v>
      </c>
      <c r="O1" s="39" t="s">
        <v>61</v>
      </c>
      <c r="P1" s="40" t="s">
        <v>48</v>
      </c>
      <c r="Q1" s="40" t="s">
        <v>49</v>
      </c>
      <c r="R1" s="40" t="s">
        <v>55</v>
      </c>
      <c r="S1" s="40" t="s">
        <v>56</v>
      </c>
      <c r="T1" s="40" t="s">
        <v>47</v>
      </c>
      <c r="U1" s="40" t="s">
        <v>45</v>
      </c>
      <c r="V1" s="40" t="s">
        <v>62</v>
      </c>
      <c r="W1" s="15" t="s">
        <v>30</v>
      </c>
      <c r="X1" s="15" t="s">
        <v>63</v>
      </c>
      <c r="Y1" s="15" t="s">
        <v>65</v>
      </c>
    </row>
    <row r="2" spans="1:29" x14ac:dyDescent="0.2">
      <c r="A2" s="54">
        <v>1</v>
      </c>
      <c r="B2" s="51" t="str">
        <f>IFERROR(_xlfn.XLOOKUP($A2, 'INTERVENTION ARM'!$A:$A, 'INTERVENTION ARM'!B:B), "")</f>
        <v>F</v>
      </c>
      <c r="C2" s="51">
        <f>IFERROR(_xlfn.XLOOKUP($A2, 'INTERVENTION ARM'!$A:$A, 'INTERVENTION ARM'!C:C), "")</f>
        <v>61</v>
      </c>
      <c r="D2" s="51">
        <f>IFERROR(_xlfn.XLOOKUP($A2, 'INTERVENTION ARM'!$A:$A, 'INTERVENTION ARM'!D:D), "")</f>
        <v>161</v>
      </c>
      <c r="E2" s="51">
        <f>IFERROR(_xlfn.XLOOKUP($A2, 'INTERVENTION ARM'!$A:$A, 'INTERVENTION ARM'!E:E), "")</f>
        <v>100</v>
      </c>
      <c r="F2" s="55">
        <f>IFERROR(_xlfn.XLOOKUP($A2, 'INTERVENTION ARM'!$A:$A, 'INTERVENTION ARM'!F:F), "")</f>
        <v>53.325999999999993</v>
      </c>
      <c r="G2" s="55">
        <f>IFERROR(_xlfn.XLOOKUP($A2, 'INTERVENTION ARM'!$A:$A, 'INTERVENTION ARM'!H:H), "")</f>
        <v>38.578758535550321</v>
      </c>
      <c r="H2" s="51" cm="1">
        <f t="array" aca="1" ref="H2" ca="1">_xlfn.XLOOKUP(P2, OFFSET('INTERVENTION ARM'!$U$1, MATCH($A2, 'INTERVENTION ARM'!$A:$A, 0) - 7, 0, 6), OFFSET('INTERVENTION ARM'!$Q$1, MATCH($A2, 'INTERVENTION ARM'!$A:$A, 0) - 7, 0, 6), "Non trouvé", 0, -1)</f>
        <v>7</v>
      </c>
      <c r="I2" s="51" cm="1">
        <f t="array" aca="1" ref="I2" ca="1">_xlfn.XLOOKUP(P2, OFFSET('INTERVENTION ARM'!$U$1, MATCH($A2, 'INTERVENTION ARM'!$A:$A, 0) - 7, 0, 6), OFFSET('INTERVENTION ARM'!$T$1, MATCH($A2, 'INTERVENTION ARM'!$A:$A, 0) - 7, 0, 6), "Non trouvé", 0, -1)</f>
        <v>13</v>
      </c>
      <c r="J2" s="55" cm="1">
        <f t="array" aca="1" ref="J2" ca="1">_xlfn.XLOOKUP(P2, OFFSET('INTERVENTION ARM'!$U$1, MATCH($A2, 'INTERVENTION ARM'!$A:$A, 0) - 7, 0, 6), OFFSET('INTERVENTION ARM'!$R$1, MATCH($A2, 'INTERVENTION ARM'!$A:$A, 0) - 7, 0, 6), "Non trouvé", 0, -1)</f>
        <v>6</v>
      </c>
      <c r="K2" s="55">
        <f ca="1">ROUNDUP(SQRT((Tableau13[[#This Row],[Pplat (cmH2O)]]*0.04)^2+(Tableau13[[#This Row],[PEEP adaptée (cmH2O)]]*0.04)^2),1)</f>
        <v>0.6</v>
      </c>
      <c r="L2" s="52">
        <f ca="1">MAX(OFFSET('INTERVENTION ARM'!$J$1, MATCH($A2, 'INTERVENTION ARM'!$A:$A, 0) - 7, 0, 6))</f>
        <v>0.37328199999999995</v>
      </c>
      <c r="M2" s="52">
        <f ca="1">Tableau13[[#This Row],[Vt  adapté(L)]]*0.08</f>
        <v>2.9862559999999996E-2</v>
      </c>
      <c r="N2" s="51">
        <f ca="1">MAX(OFFSET('INTERVENTION ARM'!$M$1, MATCH($A2, 'INTERVENTION ARM'!$A:$A, 0) - 7, 0, 6))</f>
        <v>12</v>
      </c>
      <c r="O2" s="51">
        <f ca="1">Tableau13[[#This Row],[RR adapté (Cycles/min)]]*0.1</f>
        <v>1.2000000000000002</v>
      </c>
      <c r="P2" s="53">
        <f ca="1">IFERROR(MIN(OFFSET('INTERVENTION ARM'!$U$1, MATCH($A2, 'INTERVENTION ARM'!$A:$A, 0) - 7, 0, 6)), "")</f>
        <v>1.3169388959999997</v>
      </c>
      <c r="Q2" s="53">
        <f ca="1">IFERROR(MIN(OFFSET('INTERVENTION ARM'!$U$1, MATCH($A2, 'INTERVENTION ARM'!$A:$A, 0) + 0, 0, 6)), "")</f>
        <v>1.9754083439999999</v>
      </c>
      <c r="R2" s="62">
        <f ca="1">IFERROR(MAX(OFFSET('INTERVENTION ARM'!$Z$1, MATCH($A2, 'INTERVENTION ARM'!$A:$A, 0) - 5, 0, 7)), "")</f>
        <v>0.5</v>
      </c>
      <c r="S2" s="62">
        <f ca="1">Tableau13[[#This Row],[u(dP) (cmH2O)]]/(SQRT(6-1))</f>
        <v>0.26832815729997472</v>
      </c>
      <c r="T2" s="62">
        <f ca="1">IFERROR(MAX(OFFSET('INTERVENTION ARM'!$Z$1, MATCH($A2, 'INTERVENTION ARM'!$A:$A, 0) + 2, 0, 7)), "")</f>
        <v>0</v>
      </c>
      <c r="U2" s="53" t="str">
        <f>IFERROR(_xlfn.XLOOKUP($A2, 'INTERVENTION ARM'!$A:$A, 'INTERVENTION ARM'!AA:AA), "")</f>
        <v>OUI</v>
      </c>
      <c r="V2" s="53">
        <f ca="1">SQRT((((0.098*0.5*Tableau13[[#This Row],[RR adapté (Cycles/min)]]*Tableau13[[#This Row],[dp associée (cmH2O)]]*Tableau13[[#This Row],[u(Vt) (L)]])^2)+((0.098*0.5*Tableau13[[#This Row],[Vt  adapté(L)]]*Tableau13[[#This Row],[dp associée (cmH2O)]]*Tableau13[[#This Row],[u(RR) (Cycles/min)]])^2)+((0.098*0.5*Tableau13[[#This Row],[Vt  adapté(L)]]*Tableau13[[#This Row],[RR adapté (Cycles/min)]]*Tableau13[[#This Row],[u(dP) (cmH2O)]])^2)))</f>
        <v>0.21397724335325766</v>
      </c>
      <c r="W2" s="65">
        <f ca="1">MAX(OFFSET('INTERVENTION ARM'!$X$1, MATCH($A2, 'INTERVENTION ARM'!$A:$A, 0) - 7, 0, 8))</f>
        <v>0.61111111111111116</v>
      </c>
      <c r="X2" s="128"/>
      <c r="AB2">
        <v>14</v>
      </c>
    </row>
    <row r="3" spans="1:29" x14ac:dyDescent="0.2">
      <c r="A3" s="56">
        <v>2</v>
      </c>
      <c r="B3" s="48" t="str">
        <f>IFERROR(_xlfn.XLOOKUP($A3, 'INTERVENTION ARM'!$A:$A, 'INTERVENTION ARM'!B:B), "")</f>
        <v>F</v>
      </c>
      <c r="C3" s="48">
        <f>IFERROR(_xlfn.XLOOKUP($A3, 'INTERVENTION ARM'!$A:$A, 'INTERVENTION ARM'!C:C), "")</f>
        <v>56</v>
      </c>
      <c r="D3" s="48">
        <f>IFERROR(_xlfn.XLOOKUP($A3, 'INTERVENTION ARM'!$A:$A, 'INTERVENTION ARM'!D:D), "")</f>
        <v>165</v>
      </c>
      <c r="E3" s="48">
        <f>IFERROR(_xlfn.XLOOKUP($A3, 'INTERVENTION ARM'!$A:$A, 'INTERVENTION ARM'!E:E), "")</f>
        <v>94</v>
      </c>
      <c r="F3" s="57">
        <f>IFERROR(_xlfn.XLOOKUP($A3, 'INTERVENTION ARM'!$A:$A, 'INTERVENTION ARM'!F:F), "")</f>
        <v>56.965999999999994</v>
      </c>
      <c r="G3" s="57">
        <f>IFERROR(_xlfn.XLOOKUP($A3, 'INTERVENTION ARM'!$A:$A, 'INTERVENTION ARM'!H:H), "")</f>
        <v>34.52708907254361</v>
      </c>
      <c r="H3" s="48" cm="1">
        <f t="array" aca="1" ref="H3" ca="1">_xlfn.XLOOKUP(P3, OFFSET('INTERVENTION ARM'!$U$1, MATCH($A3, 'INTERVENTION ARM'!$A:$A, 0) - 7, 0, 6), OFFSET('INTERVENTION ARM'!$Q$1, MATCH($A3, 'INTERVENTION ARM'!$A:$A, 0) - 7, 0, 6), "Non trouvé", 0, -1)</f>
        <v>5</v>
      </c>
      <c r="I3" s="48" cm="1">
        <f t="array" aca="1" ref="I3" ca="1">_xlfn.XLOOKUP(P3, OFFSET('INTERVENTION ARM'!$U$1, MATCH($A3, 'INTERVENTION ARM'!$A:$A, 0) - 7, 0, 6), OFFSET('INTERVENTION ARM'!$T$1, MATCH($A3, 'INTERVENTION ARM'!$A:$A, 0) - 7, 0, 6), "Non trouvé", 0, -1)</f>
        <v>11</v>
      </c>
      <c r="J3" s="57" cm="1">
        <f t="array" aca="1" ref="J3" ca="1">_xlfn.XLOOKUP(P3, OFFSET('INTERVENTION ARM'!$U$1, MATCH($A3, 'INTERVENTION ARM'!$A:$A, 0) - 7, 0, 6), OFFSET('INTERVENTION ARM'!$R$1, MATCH($A3, 'INTERVENTION ARM'!$A:$A, 0) - 7, 0, 6), "Non trouvé", 0, -1)</f>
        <v>6</v>
      </c>
      <c r="K3" s="57">
        <f ca="1">ROUNDUP(SQRT((Tableau13[[#This Row],[Pplat (cmH2O)]]*0.04)^2+(Tableau13[[#This Row],[PEEP adaptée (cmH2O)]]*0.04)^2),1)</f>
        <v>0.5</v>
      </c>
      <c r="L3" s="49">
        <f ca="1">MAX(OFFSET('INTERVENTION ARM'!$J$1, MATCH($A3, 'INTERVENTION ARM'!$A:$A, 0) - 7, 0, 6))</f>
        <v>0.39876199999999995</v>
      </c>
      <c r="M3" s="49">
        <f ca="1">Tableau13[[#This Row],[Vt  adapté(L)]]*0.08</f>
        <v>3.1900959999999999E-2</v>
      </c>
      <c r="N3" s="48">
        <f ca="1">MAX(OFFSET('INTERVENTION ARM'!$M$1, MATCH($A3, 'INTERVENTION ARM'!$A:$A, 0) - 7, 0, 6))</f>
        <v>12</v>
      </c>
      <c r="O3" s="48">
        <f ca="1">Tableau13[[#This Row],[RR adapté (Cycles/min)]]*0.1</f>
        <v>1.2000000000000002</v>
      </c>
      <c r="P3" s="50">
        <f ca="1">IFERROR(MIN(OFFSET('INTERVENTION ARM'!$U$1, MATCH($A3, 'INTERVENTION ARM'!$A:$A, 0) - 7, 0, 6)), "")</f>
        <v>1.4068323359999999</v>
      </c>
      <c r="Q3" s="50">
        <f ca="1">IFERROR(MIN(OFFSET('INTERVENTION ARM'!$U$1, MATCH($A3, 'INTERVENTION ARM'!$A:$A, 0) + 0, 0, 6)), "")</f>
        <v>1.658052396</v>
      </c>
      <c r="R3" s="61">
        <f ca="1">IFERROR(MAX(OFFSET('INTERVENTION ARM'!$Z$1, MATCH($A3, 'INTERVENTION ARM'!$A:$A, 0) - 5, 0, 7)), "")</f>
        <v>0</v>
      </c>
      <c r="S3" s="61">
        <f ca="1">Tableau13[[#This Row],[u(dP) (cmH2O)]]/(SQRT(6-1))</f>
        <v>0.22360679774997896</v>
      </c>
      <c r="T3" s="61">
        <f ca="1">IFERROR(MAX(OFFSET('INTERVENTION ARM'!$Z$1, MATCH($A3, 'INTERVENTION ARM'!$A:$A, 0) + 2, 0, 7)), "")</f>
        <v>0.51639777949432231</v>
      </c>
      <c r="U3" s="50" t="str">
        <f>IFERROR(_xlfn.XLOOKUP($A3, 'INTERVENTION ARM'!$A:$A, 'INTERVENTION ARM'!AA:AA), "")</f>
        <v>OUI</v>
      </c>
      <c r="V3" s="50">
        <f ca="1">SQRT((((0.098*0.5*Tableau13[[#This Row],[RR adapté (Cycles/min)]]*Tableau13[[#This Row],[dp associée (cmH2O)]]*Tableau13[[#This Row],[u(Vt) (L)]])^2)+((0.098*0.5*Tableau13[[#This Row],[Vt  adapté(L)]]*Tableau13[[#This Row],[dp associée (cmH2O)]]*Tableau13[[#This Row],[u(RR) (Cycles/min)]])^2)+((0.098*0.5*Tableau13[[#This Row],[Vt  adapté(L)]]*Tableau13[[#This Row],[RR adapté (Cycles/min)]]*Tableau13[[#This Row],[u(dP) (cmH2O)]])^2)))</f>
        <v>0.21494834890202424</v>
      </c>
      <c r="W3" s="64">
        <f ca="1">MAX(OFFSET('INTERVENTION ARM'!$X$1, MATCH($A3, 'INTERVENTION ARM'!$A:$A, 0) - 7, 0, 8))</f>
        <v>0.5625</v>
      </c>
      <c r="AB3">
        <v>13</v>
      </c>
    </row>
    <row r="4" spans="1:29" x14ac:dyDescent="0.2">
      <c r="A4" s="54">
        <v>3</v>
      </c>
      <c r="B4" s="51" t="str">
        <f>IFERROR(_xlfn.XLOOKUP($A4, 'INTERVENTION ARM'!$A:$A, 'INTERVENTION ARM'!B:B), "")</f>
        <v>M</v>
      </c>
      <c r="C4" s="51">
        <f>IFERROR(_xlfn.XLOOKUP($A4, 'INTERVENTION ARM'!$A:$A, 'INTERVENTION ARM'!C:C), "")</f>
        <v>52</v>
      </c>
      <c r="D4" s="51">
        <f>IFERROR(_xlfn.XLOOKUP($A4, 'INTERVENTION ARM'!$A:$A, 'INTERVENTION ARM'!D:D), "")</f>
        <v>169</v>
      </c>
      <c r="E4" s="51">
        <f>IFERROR(_xlfn.XLOOKUP($A4, 'INTERVENTION ARM'!$A:$A, 'INTERVENTION ARM'!E:E), "")</f>
        <v>59</v>
      </c>
      <c r="F4" s="55">
        <f>IFERROR(_xlfn.XLOOKUP($A4, 'INTERVENTION ARM'!$A:$A, 'INTERVENTION ARM'!F:F), "")</f>
        <v>65.105999999999995</v>
      </c>
      <c r="G4" s="55">
        <f>IFERROR(_xlfn.XLOOKUP($A4, 'INTERVENTION ARM'!$A:$A, 'INTERVENTION ARM'!H:H), "")</f>
        <v>20.65754000210077</v>
      </c>
      <c r="H4" s="51" cm="1">
        <f t="array" aca="1" ref="H4" ca="1">_xlfn.XLOOKUP(P4, OFFSET('INTERVENTION ARM'!$U$1, MATCH($A4, 'INTERVENTION ARM'!$A:$A, 0) - 7, 0, 6), OFFSET('INTERVENTION ARM'!$Q$1, MATCH($A4, 'INTERVENTION ARM'!$A:$A, 0) - 7, 0, 6), "Non trouvé", 0, -1)</f>
        <v>5</v>
      </c>
      <c r="I4" s="51" cm="1">
        <f t="array" aca="1" ref="I4" ca="1">_xlfn.XLOOKUP(P4, OFFSET('INTERVENTION ARM'!$U$1, MATCH($A4, 'INTERVENTION ARM'!$A:$A, 0) - 7, 0, 6), OFFSET('INTERVENTION ARM'!$T$1, MATCH($A4, 'INTERVENTION ARM'!$A:$A, 0) - 7, 0, 6), "Non trouvé", 0, -1)</f>
        <v>11</v>
      </c>
      <c r="J4" s="55" cm="1">
        <f t="array" aca="1" ref="J4" ca="1">_xlfn.XLOOKUP(P4, OFFSET('INTERVENTION ARM'!$U$1, MATCH($A4, 'INTERVENTION ARM'!$A:$A, 0) - 7, 0, 6), OFFSET('INTERVENTION ARM'!$R$1, MATCH($A4, 'INTERVENTION ARM'!$A:$A, 0) - 7, 0, 6), "Non trouvé", 0, -1)</f>
        <v>6</v>
      </c>
      <c r="K4" s="55">
        <f ca="1">ROUNDUP(SQRT((Tableau13[[#This Row],[Pplat (cmH2O)]]*0.04)^2+(Tableau13[[#This Row],[PEEP adaptée (cmH2O)]]*0.04)^2),1)</f>
        <v>0.5</v>
      </c>
      <c r="L4" s="52">
        <f ca="1">MAX(OFFSET('INTERVENTION ARM'!$J$1, MATCH($A4, 'INTERVENTION ARM'!$A:$A, 0) - 7, 0, 6))</f>
        <v>0.45574199999999998</v>
      </c>
      <c r="M4" s="52">
        <f ca="1">Tableau13[[#This Row],[Vt  adapté(L)]]*0.08</f>
        <v>3.6459359999999996E-2</v>
      </c>
      <c r="N4" s="51">
        <f ca="1">MAX(OFFSET('INTERVENTION ARM'!$M$1, MATCH($A4, 'INTERVENTION ARM'!$A:$A, 0) - 7, 0, 6))</f>
        <v>12</v>
      </c>
      <c r="O4" s="51">
        <f ca="1">Tableau13[[#This Row],[RR adapté (Cycles/min)]]*0.1</f>
        <v>1.2000000000000002</v>
      </c>
      <c r="P4" s="53">
        <f ca="1">IFERROR(MIN(OFFSET('INTERVENTION ARM'!$U$1, MATCH($A4, 'INTERVENTION ARM'!$A:$A, 0) - 7, 0, 6)), "")</f>
        <v>1.6078577759999999</v>
      </c>
      <c r="Q4" s="53">
        <f ca="1">IFERROR(MIN(OFFSET('INTERVENTION ARM'!$U$1, MATCH($A4, 'INTERVENTION ARM'!$A:$A, 0) + 0, 0, 6)), "")</f>
        <v>2.7563276160000001</v>
      </c>
      <c r="R4" s="62">
        <f ca="1">IFERROR(MAX(OFFSET('INTERVENTION ARM'!$Z$1, MATCH($A4, 'INTERVENTION ARM'!$A:$A, 0) - 5, 0, 7)), "")</f>
        <v>0.8164965809277237</v>
      </c>
      <c r="S4" s="62">
        <f ca="1">Tableau13[[#This Row],[u(dP) (cmH2O)]]/(SQRT(6-1))</f>
        <v>0.22360679774997896</v>
      </c>
      <c r="T4" s="62">
        <f ca="1">IFERROR(MAX(OFFSET('INTERVENTION ARM'!$Z$1, MATCH($A4, 'INTERVENTION ARM'!$A:$A, 0) + 2, 0, 7)), "")</f>
        <v>0.81649658092772603</v>
      </c>
      <c r="U4" s="53" t="str">
        <f>IFERROR(_xlfn.XLOOKUP($A4, 'INTERVENTION ARM'!$A:$A, 'INTERVENTION ARM'!AA:AA), "")</f>
        <v>NON</v>
      </c>
      <c r="V4" s="53">
        <f ca="1">SQRT((((0.098*0.5*Tableau13[[#This Row],[RR adapté (Cycles/min)]]*Tableau13[[#This Row],[dp associée (cmH2O)]]*Tableau13[[#This Row],[u(Vt) (L)]])^2)+((0.098*0.5*Tableau13[[#This Row],[Vt  adapté(L)]]*Tableau13[[#This Row],[dp associée (cmH2O)]]*Tableau13[[#This Row],[u(RR) (Cycles/min)]])^2)+((0.098*0.5*Tableau13[[#This Row],[Vt  adapté(L)]]*Tableau13[[#This Row],[RR adapté (Cycles/min)]]*Tableau13[[#This Row],[u(dP) (cmH2O)]])^2)))</f>
        <v>0.24566280243680774</v>
      </c>
      <c r="W4" s="65">
        <f ca="1">MAX(OFFSET('INTERVENTION ARM'!$X$1, MATCH($A4, 'INTERVENTION ARM'!$A:$A, 0) - 7, 0, 8))</f>
        <v>0.56527777777777777</v>
      </c>
      <c r="AB4">
        <v>13</v>
      </c>
    </row>
    <row r="5" spans="1:29" x14ac:dyDescent="0.2">
      <c r="A5" s="56">
        <v>4</v>
      </c>
      <c r="B5" s="48" t="str">
        <f>IFERROR(_xlfn.XLOOKUP($A5, 'INTERVENTION ARM'!$A:$A, 'INTERVENTION ARM'!B:B), "")</f>
        <v>F</v>
      </c>
      <c r="C5" s="48">
        <f>IFERROR(_xlfn.XLOOKUP($A5, 'INTERVENTION ARM'!$A:$A, 'INTERVENTION ARM'!C:C), "")</f>
        <v>63</v>
      </c>
      <c r="D5" s="48">
        <f>IFERROR(_xlfn.XLOOKUP($A5, 'INTERVENTION ARM'!$A:$A, 'INTERVENTION ARM'!D:D), "")</f>
        <v>155</v>
      </c>
      <c r="E5" s="48">
        <f>IFERROR(_xlfn.XLOOKUP($A5, 'INTERVENTION ARM'!$A:$A, 'INTERVENTION ARM'!E:E), "")</f>
        <v>52</v>
      </c>
      <c r="F5" s="57">
        <f>IFERROR(_xlfn.XLOOKUP($A5, 'INTERVENTION ARM'!$A:$A, 'INTERVENTION ARM'!F:F), "")</f>
        <v>47.865999999999993</v>
      </c>
      <c r="G5" s="57">
        <f>IFERROR(_xlfn.XLOOKUP($A5, 'INTERVENTION ARM'!$A:$A, 'INTERVENTION ARM'!H:H), "")</f>
        <v>21.644120707596251</v>
      </c>
      <c r="H5" s="48" cm="1">
        <f t="array" aca="1" ref="H5" ca="1">_xlfn.XLOOKUP(P5, OFFSET('INTERVENTION ARM'!$U$1, MATCH($A5, 'INTERVENTION ARM'!$A:$A, 0) - 7, 0, 6), OFFSET('INTERVENTION ARM'!$Q$1, MATCH($A5, 'INTERVENTION ARM'!$A:$A, 0) - 7, 0, 6), "Non trouvé", 0, -1)</f>
        <v>7</v>
      </c>
      <c r="I5" s="48" cm="1">
        <f t="array" aca="1" ref="I5" ca="1">_xlfn.XLOOKUP(P5, OFFSET('INTERVENTION ARM'!$U$1, MATCH($A5, 'INTERVENTION ARM'!$A:$A, 0) - 7, 0, 6), OFFSET('INTERVENTION ARM'!$T$1, MATCH($A5, 'INTERVENTION ARM'!$A:$A, 0) - 7, 0, 6), "Non trouvé", 0, -1)</f>
        <v>10</v>
      </c>
      <c r="J5" s="57" cm="1">
        <f t="array" aca="1" ref="J5" ca="1">_xlfn.XLOOKUP(P5, OFFSET('INTERVENTION ARM'!$U$1, MATCH($A5, 'INTERVENTION ARM'!$A:$A, 0) - 7, 0, 6), OFFSET('INTERVENTION ARM'!$R$1, MATCH($A5, 'INTERVENTION ARM'!$A:$A, 0) - 7, 0, 6), "Non trouvé", 0, -1)</f>
        <v>3</v>
      </c>
      <c r="K5" s="57">
        <f ca="1">ROUNDUP(SQRT((Tableau13[[#This Row],[Pplat (cmH2O)]]*0.04)^2+(Tableau13[[#This Row],[PEEP adaptée (cmH2O)]]*0.04)^2),1)</f>
        <v>0.5</v>
      </c>
      <c r="L5" s="49">
        <f ca="1">MAX(OFFSET('INTERVENTION ARM'!$J$1, MATCH($A5, 'INTERVENTION ARM'!$A:$A, 0) - 7, 0, 6))</f>
        <v>0.33506199999999997</v>
      </c>
      <c r="M5" s="49">
        <f ca="1">Tableau13[[#This Row],[Vt  adapté(L)]]*0.08</f>
        <v>2.6804959999999999E-2</v>
      </c>
      <c r="N5" s="48">
        <f ca="1">MAX(OFFSET('INTERVENTION ARM'!$M$1, MATCH($A5, 'INTERVENTION ARM'!$A:$A, 0) - 7, 0, 6))</f>
        <v>12</v>
      </c>
      <c r="O5" s="48">
        <f ca="1">Tableau13[[#This Row],[RR adapté (Cycles/min)]]*0.1</f>
        <v>1.2000000000000002</v>
      </c>
      <c r="P5" s="50">
        <f ca="1">IFERROR(MIN(OFFSET('INTERVENTION ARM'!$U$1, MATCH($A5, 'INTERVENTION ARM'!$A:$A, 0) - 7, 0, 6)), "")</f>
        <v>0.59104936799999996</v>
      </c>
      <c r="Q5" s="50">
        <f ca="1">IFERROR(MIN(OFFSET('INTERVENTION ARM'!$U$1, MATCH($A5, 'INTERVENTION ARM'!$A:$A, 0) + 0, 0, 6)), "")</f>
        <v>0.92879186399999991</v>
      </c>
      <c r="R5" s="61">
        <f ca="1">IFERROR(MAX(OFFSET('INTERVENTION ARM'!$Z$1, MATCH($A5, 'INTERVENTION ARM'!$A:$A, 0) - 5, 0, 7)), "")</f>
        <v>0.75277265270908045</v>
      </c>
      <c r="S5" s="61">
        <f ca="1">Tableau13[[#This Row],[u(dP) (cmH2O)]]/(SQRT(6-1))</f>
        <v>0.22360679774997896</v>
      </c>
      <c r="T5" s="61">
        <f ca="1">IFERROR(MAX(OFFSET('INTERVENTION ARM'!$Z$1, MATCH($A5, 'INTERVENTION ARM'!$A:$A, 0) + 2, 0, 7)), "")</f>
        <v>0.54772255750516607</v>
      </c>
      <c r="U5" s="50" t="str">
        <f>IFERROR(_xlfn.XLOOKUP($A5, 'INTERVENTION ARM'!$A:$A, 'INTERVENTION ARM'!AA:AA), "")</f>
        <v>NON</v>
      </c>
      <c r="V5" s="50">
        <f ca="1">SQRT((((0.098*0.5*Tableau13[[#This Row],[RR adapté (Cycles/min)]]*Tableau13[[#This Row],[dp associée (cmH2O)]]*Tableau13[[#This Row],[u(Vt) (L)]])^2)+((0.098*0.5*Tableau13[[#This Row],[Vt  adapté(L)]]*Tableau13[[#This Row],[dp associée (cmH2O)]]*Tableau13[[#This Row],[u(RR) (Cycles/min)]])^2)+((0.098*0.5*Tableau13[[#This Row],[Vt  adapté(L)]]*Tableau13[[#This Row],[RR adapté (Cycles/min)]]*Tableau13[[#This Row],[u(dP) (cmH2O)]])^2)))</f>
        <v>0.12422977264921825</v>
      </c>
      <c r="W5" s="64">
        <f ca="1">MAX(OFFSET('INTERVENTION ARM'!$X$1, MATCH($A5, 'INTERVENTION ARM'!$A:$A, 0) - 7, 0, 8))</f>
        <v>0.64583333333333337</v>
      </c>
      <c r="AB5">
        <v>15</v>
      </c>
      <c r="AC5">
        <f>_xlfn.STDEV.S(AB2:AB21)</f>
        <v>3.1334359818945701</v>
      </c>
    </row>
    <row r="6" spans="1:29" x14ac:dyDescent="0.2">
      <c r="A6" s="54">
        <v>5</v>
      </c>
      <c r="B6" s="51" t="str">
        <f>IFERROR(_xlfn.XLOOKUP($A6, 'INTERVENTION ARM'!$A:$A, 'INTERVENTION ARM'!B:B), "")</f>
        <v>M</v>
      </c>
      <c r="C6" s="51">
        <f>IFERROR(_xlfn.XLOOKUP($A6, 'INTERVENTION ARM'!$A:$A, 'INTERVENTION ARM'!C:C), "")</f>
        <v>34</v>
      </c>
      <c r="D6" s="51">
        <f>IFERROR(_xlfn.XLOOKUP($A6, 'INTERVENTION ARM'!$A:$A, 'INTERVENTION ARM'!D:D), "")</f>
        <v>184</v>
      </c>
      <c r="E6" s="51">
        <f>IFERROR(_xlfn.XLOOKUP($A6, 'INTERVENTION ARM'!$A:$A, 'INTERVENTION ARM'!E:E), "")</f>
        <v>96</v>
      </c>
      <c r="F6" s="55">
        <f>IFERROR(_xlfn.XLOOKUP($A6, 'INTERVENTION ARM'!$A:$A, 'INTERVENTION ARM'!F:F), "")</f>
        <v>78.756</v>
      </c>
      <c r="G6" s="55">
        <f>IFERROR(_xlfn.XLOOKUP($A6, 'INTERVENTION ARM'!$A:$A, 'INTERVENTION ARM'!H:H), "")</f>
        <v>28.355387523629489</v>
      </c>
      <c r="H6" s="51" cm="1">
        <f t="array" aca="1" ref="H6" ca="1">_xlfn.XLOOKUP(P6, OFFSET('INTERVENTION ARM'!$U$1, MATCH($A6, 'INTERVENTION ARM'!$A:$A, 0) - 7, 0, 6), OFFSET('INTERVENTION ARM'!$Q$1, MATCH($A6, 'INTERVENTION ARM'!$A:$A, 0) - 7, 0, 6), "Non trouvé", 0, -1)</f>
        <v>9</v>
      </c>
      <c r="I6" s="51" cm="1">
        <f t="array" aca="1" ref="I6" ca="1">_xlfn.XLOOKUP(P6, OFFSET('INTERVENTION ARM'!$U$1, MATCH($A6, 'INTERVENTION ARM'!$A:$A, 0) - 7, 0, 6), OFFSET('INTERVENTION ARM'!$T$1, MATCH($A6, 'INTERVENTION ARM'!$A:$A, 0) - 7, 0, 6), "Non trouvé", 0, -1)</f>
        <v>14</v>
      </c>
      <c r="J6" s="55" cm="1">
        <f t="array" aca="1" ref="J6" ca="1">_xlfn.XLOOKUP(P6, OFFSET('INTERVENTION ARM'!$U$1, MATCH($A6, 'INTERVENTION ARM'!$A:$A, 0) - 7, 0, 6), OFFSET('INTERVENTION ARM'!$R$1, MATCH($A6, 'INTERVENTION ARM'!$A:$A, 0) - 7, 0, 6), "Non trouvé", 0, -1)</f>
        <v>5</v>
      </c>
      <c r="K6" s="55">
        <f ca="1">ROUNDUP(SQRT((Tableau13[[#This Row],[Pplat (cmH2O)]]*0.04)^2+(Tableau13[[#This Row],[PEEP adaptée (cmH2O)]]*0.04)^2),1)</f>
        <v>0.7</v>
      </c>
      <c r="L6" s="52">
        <f ca="1">MAX(OFFSET('INTERVENTION ARM'!$J$1, MATCH($A6, 'INTERVENTION ARM'!$A:$A, 0) - 7, 0, 6))</f>
        <v>0.551292</v>
      </c>
      <c r="M6" s="52">
        <f ca="1">Tableau13[[#This Row],[Vt  adapté(L)]]*0.08</f>
        <v>4.4103360000000001E-2</v>
      </c>
      <c r="N6" s="51">
        <f ca="1">MAX(OFFSET('INTERVENTION ARM'!$M$1, MATCH($A6, 'INTERVENTION ARM'!$A:$A, 0) - 7, 0, 6))</f>
        <v>12</v>
      </c>
      <c r="O6" s="51">
        <f ca="1">Tableau13[[#This Row],[RR adapté (Cycles/min)]]*0.1</f>
        <v>1.2000000000000002</v>
      </c>
      <c r="P6" s="53">
        <f ca="1">IFERROR(MIN(OFFSET('INTERVENTION ARM'!$U$1, MATCH($A6, 'INTERVENTION ARM'!$A:$A, 0) - 7, 0, 6)), "")</f>
        <v>1.6207984799999999</v>
      </c>
      <c r="Q6" s="53">
        <f ca="1">IFERROR(MIN(OFFSET('INTERVENTION ARM'!$U$1, MATCH($A6, 'INTERVENTION ARM'!$A:$A, 0) + 0, 0, 6)), "")</f>
        <v>2.9174372639999997</v>
      </c>
      <c r="R6" s="62">
        <f ca="1">IFERROR(MAX(OFFSET('INTERVENTION ARM'!$Z$1, MATCH($A6, 'INTERVENTION ARM'!$A:$A, 0) - 5, 0, 7)), "")</f>
        <v>0.40824829046386302</v>
      </c>
      <c r="S6" s="62">
        <f ca="1">Tableau13[[#This Row],[u(dP) (cmH2O)]]/(SQRT(6-1))</f>
        <v>0.31304951684997051</v>
      </c>
      <c r="T6" s="62">
        <f ca="1">IFERROR(MAX(OFFSET('INTERVENTION ARM'!$Z$1, MATCH($A6, 'INTERVENTION ARM'!$A:$A, 0) + 2, 0, 7)), "")</f>
        <v>0</v>
      </c>
      <c r="U6" s="53" t="str">
        <f>IFERROR(_xlfn.XLOOKUP($A6, 'INTERVENTION ARM'!$A:$A, 'INTERVENTION ARM'!AA:AA), "")</f>
        <v>OUI</v>
      </c>
      <c r="V6" s="53">
        <f ca="1">SQRT((((0.098*0.5*Tableau13[[#This Row],[RR adapté (Cycles/min)]]*Tableau13[[#This Row],[dp associée (cmH2O)]]*Tableau13[[#This Row],[u(Vt) (L)]])^2)+((0.098*0.5*Tableau13[[#This Row],[Vt  adapté(L)]]*Tableau13[[#This Row],[dp associée (cmH2O)]]*Tableau13[[#This Row],[u(RR) (Cycles/min)]])^2)+((0.098*0.5*Tableau13[[#This Row],[Vt  adapté(L)]]*Tableau13[[#This Row],[RR adapté (Cycles/min)]]*Tableau13[[#This Row],[u(dP) (cmH2O)]])^2)))</f>
        <v>0.30752488949633194</v>
      </c>
      <c r="W6" s="65">
        <f ca="1">MAX(OFFSET('INTERVENTION ARM'!$X$1, MATCH($A6, 'INTERVENTION ARM'!$A:$A, 0) - 7, 0, 8))</f>
        <v>0.625</v>
      </c>
      <c r="AB6">
        <v>15</v>
      </c>
    </row>
    <row r="7" spans="1:29" x14ac:dyDescent="0.2">
      <c r="A7" s="56">
        <v>6</v>
      </c>
      <c r="B7" s="48" t="str">
        <f>IFERROR(_xlfn.XLOOKUP($A7, 'INTERVENTION ARM'!$A:$A, 'INTERVENTION ARM'!B:B), "")</f>
        <v>M</v>
      </c>
      <c r="C7" s="48">
        <f>IFERROR(_xlfn.XLOOKUP($A7, 'INTERVENTION ARM'!$A:$A, 'INTERVENTION ARM'!C:C), "")</f>
        <v>51</v>
      </c>
      <c r="D7" s="48">
        <f>IFERROR(_xlfn.XLOOKUP($A7, 'INTERVENTION ARM'!$A:$A, 'INTERVENTION ARM'!D:D), "")</f>
        <v>162</v>
      </c>
      <c r="E7" s="48">
        <f>IFERROR(_xlfn.XLOOKUP($A7, 'INTERVENTION ARM'!$A:$A, 'INTERVENTION ARM'!E:E), "")</f>
        <v>117</v>
      </c>
      <c r="F7" s="57">
        <f>IFERROR(_xlfn.XLOOKUP($A7, 'INTERVENTION ARM'!$A:$A, 'INTERVENTION ARM'!F:F), "")</f>
        <v>58.735999999999997</v>
      </c>
      <c r="G7" s="57">
        <f>IFERROR(_xlfn.XLOOKUP($A7, 'INTERVENTION ARM'!$A:$A, 'INTERVENTION ARM'!H:H), "")</f>
        <v>44.581618655692722</v>
      </c>
      <c r="H7" s="48" cm="1">
        <f t="array" aca="1" ref="H7" ca="1">_xlfn.XLOOKUP(P7, OFFSET('INTERVENTION ARM'!$U$1, MATCH($A7, 'INTERVENTION ARM'!$A:$A, 0) - 7, 0, 6), OFFSET('INTERVENTION ARM'!$Q$1, MATCH($A7, 'INTERVENTION ARM'!$A:$A, 0) - 7, 0, 6), "Non trouvé", 0, -1)</f>
        <v>15</v>
      </c>
      <c r="I7" s="48" cm="1">
        <f t="array" aca="1" ref="I7" ca="1">_xlfn.XLOOKUP(P7, OFFSET('INTERVENTION ARM'!$U$1, MATCH($A7, 'INTERVENTION ARM'!$A:$A, 0) - 7, 0, 6), OFFSET('INTERVENTION ARM'!$T$1, MATCH($A7, 'INTERVENTION ARM'!$A:$A, 0) - 7, 0, 6), "Non trouvé", 0, -1)</f>
        <v>24</v>
      </c>
      <c r="J7" s="57" cm="1">
        <f t="array" aca="1" ref="J7" ca="1">_xlfn.XLOOKUP(P7, OFFSET('INTERVENTION ARM'!$U$1, MATCH($A7, 'INTERVENTION ARM'!$A:$A, 0) - 7, 0, 6), OFFSET('INTERVENTION ARM'!$R$1, MATCH($A7, 'INTERVENTION ARM'!$A:$A, 0) - 7, 0, 6), "Non trouvé", 0, -1)</f>
        <v>9</v>
      </c>
      <c r="K7" s="57">
        <f ca="1">ROUNDUP(SQRT((Tableau13[[#This Row],[Pplat (cmH2O)]]*0.04)^2+(Tableau13[[#This Row],[PEEP adaptée (cmH2O)]]*0.04)^2),1)</f>
        <v>1.2000000000000002</v>
      </c>
      <c r="L7" s="49">
        <f ca="1">MAX(OFFSET('INTERVENTION ARM'!$J$1, MATCH($A7, 'INTERVENTION ARM'!$A:$A, 0) - 7, 0, 6))</f>
        <v>0.41115199999999996</v>
      </c>
      <c r="M7" s="49">
        <f ca="1">Tableau13[[#This Row],[Vt  adapté(L)]]*0.08</f>
        <v>3.2892159999999997E-2</v>
      </c>
      <c r="N7" s="48">
        <f ca="1">MAX(OFFSET('INTERVENTION ARM'!$M$1, MATCH($A7, 'INTERVENTION ARM'!$A:$A, 0) - 7, 0, 6))</f>
        <v>14</v>
      </c>
      <c r="O7" s="48">
        <f ca="1">Tableau13[[#This Row],[RR adapté (Cycles/min)]]*0.1</f>
        <v>1.4000000000000001</v>
      </c>
      <c r="P7" s="50">
        <f ca="1">IFERROR(MIN(OFFSET('INTERVENTION ARM'!$U$1, MATCH($A7, 'INTERVENTION ARM'!$A:$A, 0) - 7, 0, 6)), "")</f>
        <v>2.5384524480000001</v>
      </c>
      <c r="Q7" s="50">
        <f ca="1">IFERROR(MIN(OFFSET('INTERVENTION ARM'!$U$1, MATCH($A7, 'INTERVENTION ARM'!$A:$A, 0) + 0, 0, 6)), "")</f>
        <v>3.263724576</v>
      </c>
      <c r="R7" s="61">
        <f ca="1">IFERROR(MAX(OFFSET('INTERVENTION ARM'!$Z$1, MATCH($A7, 'INTERVENTION ARM'!$A:$A, 0) - 5, 0, 7)), "")</f>
        <v>0.75277265270908111</v>
      </c>
      <c r="S7" s="61">
        <f ca="1">Tableau13[[#This Row],[u(dP) (cmH2O)]]/(SQRT(6-1))</f>
        <v>0.53665631459994956</v>
      </c>
      <c r="T7" s="61">
        <f ca="1">IFERROR(MAX(OFFSET('INTERVENTION ARM'!$Z$1, MATCH($A7, 'INTERVENTION ARM'!$A:$A, 0) + 2, 0, 7)), "")</f>
        <v>2.6076809620810595</v>
      </c>
      <c r="U7" s="50" t="str">
        <f>IFERROR(_xlfn.XLOOKUP($A7, 'INTERVENTION ARM'!$A:$A, 'INTERVENTION ARM'!AA:AA), "")</f>
        <v>Oui</v>
      </c>
      <c r="V7" s="50">
        <f ca="1">SQRT((((0.098*0.5*Tableau13[[#This Row],[RR adapté (Cycles/min)]]*Tableau13[[#This Row],[dp associée (cmH2O)]]*Tableau13[[#This Row],[u(Vt) (L)]])^2)+((0.098*0.5*Tableau13[[#This Row],[Vt  adapté(L)]]*Tableau13[[#This Row],[dp associée (cmH2O)]]*Tableau13[[#This Row],[u(RR) (Cycles/min)]])^2)+((0.098*0.5*Tableau13[[#This Row],[Vt  adapté(L)]]*Tableau13[[#This Row],[RR adapté (Cycles/min)]]*Tableau13[[#This Row],[u(dP) (cmH2O)]])^2)))</f>
        <v>0.46928961438669459</v>
      </c>
      <c r="W7" s="64">
        <f ca="1">MAX(OFFSET('INTERVENTION ARM'!$X$1, MATCH($A7, 'INTERVENTION ARM'!$A:$A, 0) - 7, 0, 8))</f>
        <v>0.66666666666666663</v>
      </c>
      <c r="Y7" t="s">
        <v>64</v>
      </c>
      <c r="AB7">
        <v>16</v>
      </c>
    </row>
    <row r="8" spans="1:29" x14ac:dyDescent="0.2">
      <c r="A8" s="54">
        <v>7</v>
      </c>
      <c r="B8" s="51" t="str">
        <f>IFERROR(_xlfn.XLOOKUP($A8, 'INTERVENTION ARM'!$A:$A, 'INTERVENTION ARM'!B:B), "")</f>
        <v>M</v>
      </c>
      <c r="C8" s="51">
        <f>IFERROR(_xlfn.XLOOKUP($A8, 'INTERVENTION ARM'!$A:$A, 'INTERVENTION ARM'!C:C), "")</f>
        <v>67</v>
      </c>
      <c r="D8" s="51">
        <f>IFERROR(_xlfn.XLOOKUP($A8, 'INTERVENTION ARM'!$A:$A, 'INTERVENTION ARM'!D:D), "")</f>
        <v>192</v>
      </c>
      <c r="E8" s="51">
        <f>IFERROR(_xlfn.XLOOKUP($A8, 'INTERVENTION ARM'!$A:$A, 'INTERVENTION ARM'!E:E), "")</f>
        <v>138</v>
      </c>
      <c r="F8" s="55">
        <f>IFERROR(_xlfn.XLOOKUP($A8, 'INTERVENTION ARM'!$A:$A, 'INTERVENTION ARM'!F:F), "")</f>
        <v>86.036000000000001</v>
      </c>
      <c r="G8" s="55">
        <f>IFERROR(_xlfn.XLOOKUP($A8, 'INTERVENTION ARM'!$A:$A, 'INTERVENTION ARM'!H:H), "")</f>
        <v>37.434895833333336</v>
      </c>
      <c r="H8" s="51" cm="1">
        <f t="array" aca="1" ref="H8" ca="1">_xlfn.XLOOKUP(P8, OFFSET('INTERVENTION ARM'!$U$1, MATCH($A8, 'INTERVENTION ARM'!$A:$A, 0) - 7, 0, 6), OFFSET('INTERVENTION ARM'!$Q$1, MATCH($A8, 'INTERVENTION ARM'!$A:$A, 0) - 7, 0, 6), "Non trouvé", 0, -1)</f>
        <v>11</v>
      </c>
      <c r="I8" s="51" cm="1">
        <f t="array" aca="1" ref="I8" ca="1">_xlfn.XLOOKUP(P8, OFFSET('INTERVENTION ARM'!$U$1, MATCH($A8, 'INTERVENTION ARM'!$A:$A, 0) - 7, 0, 6), OFFSET('INTERVENTION ARM'!$T$1, MATCH($A8, 'INTERVENTION ARM'!$A:$A, 0) - 7, 0, 6), "Non trouvé", 0, -1)</f>
        <v>17</v>
      </c>
      <c r="J8" s="55" cm="1">
        <f t="array" aca="1" ref="J8" ca="1">_xlfn.XLOOKUP(P8, OFFSET('INTERVENTION ARM'!$U$1, MATCH($A8, 'INTERVENTION ARM'!$A:$A, 0) - 7, 0, 6), OFFSET('INTERVENTION ARM'!$R$1, MATCH($A8, 'INTERVENTION ARM'!$A:$A, 0) - 7, 0, 6), "Non trouvé", 0, -1)</f>
        <v>6</v>
      </c>
      <c r="K8" s="55">
        <f ca="1">ROUNDUP(SQRT((Tableau13[[#This Row],[Pplat (cmH2O)]]*0.04)^2+(Tableau13[[#This Row],[PEEP adaptée (cmH2O)]]*0.04)^2),1)</f>
        <v>0.9</v>
      </c>
      <c r="L8" s="52">
        <f ca="1">MAX(OFFSET('INTERVENTION ARM'!$J$1, MATCH($A8, 'INTERVENTION ARM'!$A:$A, 0) - 7, 0, 6))</f>
        <v>0.6022519999999999</v>
      </c>
      <c r="M8" s="52">
        <f ca="1">Tableau13[[#This Row],[Vt  adapté(L)]]*0.08</f>
        <v>4.8180159999999993E-2</v>
      </c>
      <c r="N8" s="51">
        <f ca="1">MAX(OFFSET('INTERVENTION ARM'!$M$1, MATCH($A8, 'INTERVENTION ARM'!$A:$A, 0) - 7, 0, 6))</f>
        <v>12</v>
      </c>
      <c r="O8" s="51">
        <f ca="1">Tableau13[[#This Row],[RR adapté (Cycles/min)]]*0.1</f>
        <v>1.2000000000000002</v>
      </c>
      <c r="P8" s="53">
        <f ca="1">IFERROR(MIN(OFFSET('INTERVENTION ARM'!$U$1, MATCH($A8, 'INTERVENTION ARM'!$A:$A, 0) - 7, 0, 6)), "")</f>
        <v>2.1247450559999996</v>
      </c>
      <c r="Q8" s="53">
        <f ca="1">IFERROR(MIN(OFFSET('INTERVENTION ARM'!$U$1, MATCH($A8, 'INTERVENTION ARM'!$A:$A, 0) + 0, 0, 6)), "")</f>
        <v>3.6424200960000004</v>
      </c>
      <c r="R8" s="62">
        <f ca="1">IFERROR(MAX(OFFSET('INTERVENTION ARM'!$Z$1, MATCH($A8, 'INTERVENTION ARM'!$A:$A, 0) - 5, 0, 7)), "")</f>
        <v>1.3291601358251244</v>
      </c>
      <c r="S8" s="62">
        <f ca="1">Tableau13[[#This Row],[u(dP) (cmH2O)]]/(SQRT(6-1))</f>
        <v>0.40249223594996214</v>
      </c>
      <c r="T8" s="62">
        <f ca="1">IFERROR(MAX(OFFSET('INTERVENTION ARM'!$Z$1, MATCH($A8, 'INTERVENTION ARM'!$A:$A, 0) + 2, 0, 7)), "")</f>
        <v>0.5163977794943222</v>
      </c>
      <c r="U8" s="53" t="str">
        <f>IFERROR(_xlfn.XLOOKUP($A8, 'INTERVENTION ARM'!$A:$A, 'INTERVENTION ARM'!AA:AA), "")</f>
        <v>Oui</v>
      </c>
      <c r="V8" s="53">
        <f ca="1">SQRT((((0.098*0.5*Tableau13[[#This Row],[RR adapté (Cycles/min)]]*Tableau13[[#This Row],[dp associée (cmH2O)]]*Tableau13[[#This Row],[u(Vt) (L)]])^2)+((0.098*0.5*Tableau13[[#This Row],[Vt  adapté(L)]]*Tableau13[[#This Row],[dp associée (cmH2O)]]*Tableau13[[#This Row],[u(RR) (Cycles/min)]])^2)+((0.098*0.5*Tableau13[[#This Row],[Vt  adapté(L)]]*Tableau13[[#This Row],[RR adapté (Cycles/min)]]*Tableau13[[#This Row],[u(dP) (cmH2O)]])^2)))</f>
        <v>0.41906522930393736</v>
      </c>
      <c r="W8" s="65">
        <f ca="1">MAX(OFFSET('INTERVENTION ARM'!$X$1, MATCH($A8, 'INTERVENTION ARM'!$A:$A, 0) - 7, 0, 8))</f>
        <v>0.66666666666666663</v>
      </c>
      <c r="AB8">
        <v>16</v>
      </c>
    </row>
    <row r="9" spans="1:29" x14ac:dyDescent="0.2">
      <c r="A9" s="56">
        <v>8</v>
      </c>
      <c r="B9" s="48" t="str">
        <f>IFERROR(_xlfn.XLOOKUP($A9, 'INTERVENTION ARM'!$A:$A, 'INTERVENTION ARM'!B:B), "")</f>
        <v>F</v>
      </c>
      <c r="C9" s="48">
        <f>IFERROR(_xlfn.XLOOKUP($A9, 'INTERVENTION ARM'!$A:$A, 'INTERVENTION ARM'!C:C), "")</f>
        <v>38</v>
      </c>
      <c r="D9" s="48">
        <f>IFERROR(_xlfn.XLOOKUP($A9, 'INTERVENTION ARM'!$A:$A, 'INTERVENTION ARM'!D:D), "")</f>
        <v>163</v>
      </c>
      <c r="E9" s="48">
        <f>IFERROR(_xlfn.XLOOKUP($A9, 'INTERVENTION ARM'!$A:$A, 'INTERVENTION ARM'!E:E), "")</f>
        <v>80</v>
      </c>
      <c r="F9" s="57">
        <f>IFERROR(_xlfn.XLOOKUP($A9, 'INTERVENTION ARM'!$A:$A, 'INTERVENTION ARM'!F:F), "")</f>
        <v>55.145999999999994</v>
      </c>
      <c r="G9" s="57">
        <f>IFERROR(_xlfn.XLOOKUP($A9, 'INTERVENTION ARM'!$A:$A, 'INTERVENTION ARM'!H:H), "")</f>
        <v>30.110278896458276</v>
      </c>
      <c r="H9" s="48" cm="1">
        <f t="array" aca="1" ref="H9" ca="1">_xlfn.XLOOKUP(P9, OFFSET('INTERVENTION ARM'!$U$1, MATCH($A9, 'INTERVENTION ARM'!$A:$A, 0) - 7, 0, 6), OFFSET('INTERVENTION ARM'!$Q$1, MATCH($A9, 'INTERVENTION ARM'!$A:$A, 0) - 7, 0, 6), "Non trouvé", 0, -1)</f>
        <v>7</v>
      </c>
      <c r="I9" s="48" cm="1">
        <f t="array" aca="1" ref="I9" ca="1">_xlfn.XLOOKUP(P9, OFFSET('INTERVENTION ARM'!$U$1, MATCH($A9, 'INTERVENTION ARM'!$A:$A, 0) - 7, 0, 6), OFFSET('INTERVENTION ARM'!$T$1, MATCH($A9, 'INTERVENTION ARM'!$A:$A, 0) - 7, 0, 6), "Non trouvé", 0, -1)</f>
        <v>14</v>
      </c>
      <c r="J9" s="57" cm="1">
        <f t="array" aca="1" ref="J9" ca="1">_xlfn.XLOOKUP(P9, OFFSET('INTERVENTION ARM'!$U$1, MATCH($A9, 'INTERVENTION ARM'!$A:$A, 0) - 7, 0, 6), OFFSET('INTERVENTION ARM'!$R$1, MATCH($A9, 'INTERVENTION ARM'!$A:$A, 0) - 7, 0, 6), "Non trouvé", 0, -1)</f>
        <v>7</v>
      </c>
      <c r="K9" s="57">
        <f ca="1">ROUNDUP(SQRT((Tableau13[[#This Row],[Pplat (cmH2O)]]*0.04)^2+(Tableau13[[#This Row],[PEEP adaptée (cmH2O)]]*0.04)^2),1)</f>
        <v>0.7</v>
      </c>
      <c r="L9" s="49">
        <f ca="1">MAX(OFFSET('INTERVENTION ARM'!$J$1, MATCH($A9, 'INTERVENTION ARM'!$A:$A, 0) - 7, 0, 6))</f>
        <v>0.38602199999999992</v>
      </c>
      <c r="M9" s="49">
        <f ca="1">Tableau13[[#This Row],[Vt  adapté(L)]]*0.08</f>
        <v>3.0881759999999994E-2</v>
      </c>
      <c r="N9" s="48">
        <f ca="1">MAX(OFFSET('INTERVENTION ARM'!$M$1, MATCH($A9, 'INTERVENTION ARM'!$A:$A, 0) - 7, 0, 6))</f>
        <v>14</v>
      </c>
      <c r="O9" s="48">
        <f ca="1">Tableau13[[#This Row],[RR adapté (Cycles/min)]]*0.1</f>
        <v>1.4000000000000001</v>
      </c>
      <c r="P9" s="50">
        <f ca="1">IFERROR(MIN(OFFSET('INTERVENTION ARM'!$U$1, MATCH($A9, 'INTERVENTION ARM'!$A:$A, 0) - 7, 0, 6)), "")</f>
        <v>1.8536776439999998</v>
      </c>
      <c r="Q9" s="50">
        <f ca="1">IFERROR(MIN(OFFSET('INTERVENTION ARM'!$U$1, MATCH($A9, 'INTERVENTION ARM'!$A:$A, 0) + 0, 0, 6)), "")</f>
        <v>3.40471404</v>
      </c>
      <c r="R9" s="61">
        <f ca="1">IFERROR(MAX(OFFSET('INTERVENTION ARM'!$Z$1, MATCH($A9, 'INTERVENTION ARM'!$A:$A, 0) - 5, 0, 7)), "")</f>
        <v>0.752772652709081</v>
      </c>
      <c r="S9" s="61">
        <f ca="1">Tableau13[[#This Row],[u(dP) (cmH2O)]]/(SQRT(6-1))</f>
        <v>0.31304951684997051</v>
      </c>
      <c r="T9" s="61">
        <f ca="1">IFERROR(MAX(OFFSET('INTERVENTION ARM'!$Z$1, MATCH($A9, 'INTERVENTION ARM'!$A:$A, 0) + 2, 0, 7)), "")</f>
        <v>0.54772255750516607</v>
      </c>
      <c r="U9" s="50" t="str">
        <f>IFERROR(_xlfn.XLOOKUP($A9, 'INTERVENTION ARM'!$A:$A, 'INTERVENTION ARM'!AA:AA), "")</f>
        <v>NON</v>
      </c>
      <c r="V9" s="50">
        <f ca="1">SQRT((((0.098*0.5*Tableau13[[#This Row],[RR adapté (Cycles/min)]]*Tableau13[[#This Row],[dp associée (cmH2O)]]*Tableau13[[#This Row],[u(Vt) (L)]])^2)+((0.098*0.5*Tableau13[[#This Row],[Vt  adapté(L)]]*Tableau13[[#This Row],[dp associée (cmH2O)]]*Tableau13[[#This Row],[u(RR) (Cycles/min)]])^2)+((0.098*0.5*Tableau13[[#This Row],[Vt  adapté(L)]]*Tableau13[[#This Row],[RR adapté (Cycles/min)]]*Tableau13[[#This Row],[u(dP) (cmH2O)]])^2)))</f>
        <v>0.3011869673934221</v>
      </c>
      <c r="W9" s="64">
        <f ca="1">MAX(OFFSET('INTERVENTION ARM'!$X$1, MATCH($A9, 'INTERVENTION ARM'!$A:$A, 0) - 7, 0, 8))</f>
        <v>0.95833333333333337</v>
      </c>
      <c r="AB9">
        <v>23</v>
      </c>
    </row>
    <row r="10" spans="1:29" x14ac:dyDescent="0.2">
      <c r="A10" s="54">
        <v>9</v>
      </c>
      <c r="B10" s="51" t="str">
        <f>IFERROR(_xlfn.XLOOKUP($A10, 'INTERVENTION ARM'!$A:$A, 'INTERVENTION ARM'!B:B), "")</f>
        <v>F</v>
      </c>
      <c r="C10" s="51">
        <f>IFERROR(_xlfn.XLOOKUP($A10, 'INTERVENTION ARM'!$A:$A, 'INTERVENTION ARM'!C:C), "")</f>
        <v>48</v>
      </c>
      <c r="D10" s="51">
        <f>IFERROR(_xlfn.XLOOKUP($A10, 'INTERVENTION ARM'!$A:$A, 'INTERVENTION ARM'!D:D), "")</f>
        <v>155</v>
      </c>
      <c r="E10" s="51">
        <f>IFERROR(_xlfn.XLOOKUP($A10, 'INTERVENTION ARM'!$A:$A, 'INTERVENTION ARM'!E:E), "")</f>
        <v>80</v>
      </c>
      <c r="F10" s="55">
        <f>IFERROR(_xlfn.XLOOKUP($A10, 'INTERVENTION ARM'!$A:$A, 'INTERVENTION ARM'!F:F), "")</f>
        <v>47.865999999999993</v>
      </c>
      <c r="G10" s="55">
        <f>IFERROR(_xlfn.XLOOKUP($A10, 'INTERVENTION ARM'!$A:$A, 'INTERVENTION ARM'!H:H), "")</f>
        <v>33.298647242455772</v>
      </c>
      <c r="H10" s="51" cm="1">
        <f t="array" aca="1" ref="H10" ca="1">_xlfn.XLOOKUP(P10, OFFSET('INTERVENTION ARM'!$U$1, MATCH($A10, 'INTERVENTION ARM'!$A:$A, 0) - 7, 0, 6), OFFSET('INTERVENTION ARM'!$Q$1, MATCH($A10, 'INTERVENTION ARM'!$A:$A, 0) - 7, 0, 6), "Non trouvé", 0, -1)</f>
        <v>7</v>
      </c>
      <c r="I10" s="51" cm="1">
        <f t="array" aca="1" ref="I10" ca="1">_xlfn.XLOOKUP(P10, OFFSET('INTERVENTION ARM'!$U$1, MATCH($A10, 'INTERVENTION ARM'!$A:$A, 0) - 7, 0, 6), OFFSET('INTERVENTION ARM'!$T$1, MATCH($A10, 'INTERVENTION ARM'!$A:$A, 0) - 7, 0, 6), "Non trouvé", 0, -1)</f>
        <v>12</v>
      </c>
      <c r="J10" s="55" cm="1">
        <f t="array" aca="1" ref="J10" ca="1">_xlfn.XLOOKUP(P10, OFFSET('INTERVENTION ARM'!$U$1, MATCH($A10, 'INTERVENTION ARM'!$A:$A, 0) - 7, 0, 6), OFFSET('INTERVENTION ARM'!$R$1, MATCH($A10, 'INTERVENTION ARM'!$A:$A, 0) - 7, 0, 6), "Non trouvé", 0, -1)</f>
        <v>5</v>
      </c>
      <c r="K10" s="55">
        <f ca="1">ROUNDUP(SQRT((Tableau13[[#This Row],[Pplat (cmH2O)]]*0.04)^2+(Tableau13[[#This Row],[PEEP adaptée (cmH2O)]]*0.04)^2),1)</f>
        <v>0.6</v>
      </c>
      <c r="L10" s="52">
        <f ca="1">MAX(OFFSET('INTERVENTION ARM'!$J$1, MATCH($A10, 'INTERVENTION ARM'!$A:$A, 0) - 7, 0, 6))</f>
        <v>0.33506199999999997</v>
      </c>
      <c r="M10" s="52">
        <f ca="1">Tableau13[[#This Row],[Vt  adapté(L)]]*0.08</f>
        <v>2.6804959999999999E-2</v>
      </c>
      <c r="N10" s="51">
        <f ca="1">MAX(OFFSET('INTERVENTION ARM'!$M$1, MATCH($A10, 'INTERVENTION ARM'!$A:$A, 0) - 7, 0, 6))</f>
        <v>14</v>
      </c>
      <c r="O10" s="51">
        <f ca="1">Tableau13[[#This Row],[RR adapté (Cycles/min)]]*0.1</f>
        <v>1.4000000000000001</v>
      </c>
      <c r="P10" s="53">
        <f ca="1">IFERROR(MIN(OFFSET('INTERVENTION ARM'!$U$1, MATCH($A10, 'INTERVENTION ARM'!$A:$A, 0) - 7, 0, 6)), "")</f>
        <v>1.14926266</v>
      </c>
      <c r="Q10" s="53">
        <f ca="1">IFERROR(MIN(OFFSET('INTERVENTION ARM'!$U$1, MATCH($A10, 'INTERVENTION ARM'!$A:$A, 0) + 0, 0, 6)), "")</f>
        <v>1.8998015399999999</v>
      </c>
      <c r="R10" s="62">
        <f ca="1">IFERROR(MAX(OFFSET('INTERVENTION ARM'!$Z$1, MATCH($A10, 'INTERVENTION ARM'!$A:$A, 0) - 5, 0, 7)), "")</f>
        <v>0.40824829046386302</v>
      </c>
      <c r="S10" s="62">
        <f ca="1">Tableau13[[#This Row],[u(dP) (cmH2O)]]/(SQRT(6-1))</f>
        <v>0.26832815729997472</v>
      </c>
      <c r="T10" s="62">
        <f ca="1">IFERROR(MAX(OFFSET('INTERVENTION ARM'!$Z$1, MATCH($A10, 'INTERVENTION ARM'!$A:$A, 0) + 2, 0, 7)), "")</f>
        <v>0.40824829046386302</v>
      </c>
      <c r="U10" s="53" t="str">
        <f>IFERROR(_xlfn.XLOOKUP($A10, 'INTERVENTION ARM'!$A:$A, 'INTERVENTION ARM'!AA:AA), "")</f>
        <v>Oui</v>
      </c>
      <c r="V10" s="53">
        <f ca="1">SQRT((((0.098*0.5*Tableau13[[#This Row],[RR adapté (Cycles/min)]]*Tableau13[[#This Row],[dp associée (cmH2O)]]*Tableau13[[#This Row],[u(Vt) (L)]])^2)+((0.098*0.5*Tableau13[[#This Row],[Vt  adapté(L)]]*Tableau13[[#This Row],[dp associée (cmH2O)]]*Tableau13[[#This Row],[u(RR) (Cycles/min)]])^2)+((0.098*0.5*Tableau13[[#This Row],[Vt  adapté(L)]]*Tableau13[[#This Row],[RR adapté (Cycles/min)]]*Tableau13[[#This Row],[u(dP) (cmH2O)]])^2)))</f>
        <v>0.2016947782651908</v>
      </c>
      <c r="W10" s="65">
        <f ca="1">MAX(OFFSET('INTERVENTION ARM'!$X$1, MATCH($A10, 'INTERVENTION ARM'!$A:$A, 0) - 7, 0, 8))</f>
        <v>0.65277777777777779</v>
      </c>
      <c r="AB10">
        <v>15</v>
      </c>
    </row>
    <row r="11" spans="1:29" x14ac:dyDescent="0.2">
      <c r="A11" s="56">
        <v>10</v>
      </c>
      <c r="B11" s="48" t="str">
        <f>IFERROR(_xlfn.XLOOKUP($A11, 'INTERVENTION ARM'!$A:$A, 'INTERVENTION ARM'!B:B), "")</f>
        <v>M</v>
      </c>
      <c r="C11" s="48">
        <f>IFERROR(_xlfn.XLOOKUP($A11, 'INTERVENTION ARM'!$A:$A, 'INTERVENTION ARM'!C:C), "")</f>
        <v>35</v>
      </c>
      <c r="D11" s="48">
        <f>IFERROR(_xlfn.XLOOKUP($A11, 'INTERVENTION ARM'!$A:$A, 'INTERVENTION ARM'!D:D), "")</f>
        <v>167</v>
      </c>
      <c r="E11" s="48">
        <f>IFERROR(_xlfn.XLOOKUP($A11, 'INTERVENTION ARM'!$A:$A, 'INTERVENTION ARM'!E:E), "")</f>
        <v>130</v>
      </c>
      <c r="F11" s="57">
        <f>IFERROR(_xlfn.XLOOKUP($A11, 'INTERVENTION ARM'!$A:$A, 'INTERVENTION ARM'!F:F), "")</f>
        <v>63.285999999999994</v>
      </c>
      <c r="G11" s="57">
        <f>IFERROR(_xlfn.XLOOKUP($A11, 'INTERVENTION ARM'!$A:$A, 'INTERVENTION ARM'!H:H), "")</f>
        <v>46.613360106135033</v>
      </c>
      <c r="H11" s="48" cm="1">
        <f t="array" aca="1" ref="H11" ca="1">_xlfn.XLOOKUP(P11, OFFSET('INTERVENTION ARM'!$U$1, MATCH($A11, 'INTERVENTION ARM'!$A:$A, 0) - 7, 0, 6), OFFSET('INTERVENTION ARM'!$Q$1, MATCH($A11, 'INTERVENTION ARM'!$A:$A, 0) - 7, 0, 6), "Non trouvé", 0, -1)</f>
        <v>13</v>
      </c>
      <c r="I11" s="48" cm="1">
        <f t="array" aca="1" ref="I11" ca="1">_xlfn.XLOOKUP(P11, OFFSET('INTERVENTION ARM'!$U$1, MATCH($A11, 'INTERVENTION ARM'!$A:$A, 0) - 7, 0, 6), OFFSET('INTERVENTION ARM'!$T$1, MATCH($A11, 'INTERVENTION ARM'!$A:$A, 0) - 7, 0, 6), "Non trouvé", 0, -1)</f>
        <v>19</v>
      </c>
      <c r="J11" s="57" cm="1">
        <f t="array" aca="1" ref="J11" ca="1">_xlfn.XLOOKUP(P11, OFFSET('INTERVENTION ARM'!$U$1, MATCH($A11, 'INTERVENTION ARM'!$A:$A, 0) - 7, 0, 6), OFFSET('INTERVENTION ARM'!$R$1, MATCH($A11, 'INTERVENTION ARM'!$A:$A, 0) - 7, 0, 6), "Non trouvé", 0, -1)</f>
        <v>6</v>
      </c>
      <c r="K11" s="57">
        <f ca="1">ROUNDUP(SQRT((Tableau13[[#This Row],[Pplat (cmH2O)]]*0.04)^2+(Tableau13[[#This Row],[PEEP adaptée (cmH2O)]]*0.04)^2),1)</f>
        <v>1</v>
      </c>
      <c r="L11" s="49">
        <f ca="1">MAX(OFFSET('INTERVENTION ARM'!$J$1, MATCH($A11, 'INTERVENTION ARM'!$A:$A, 0) - 7, 0, 6))</f>
        <v>0.44300199999999995</v>
      </c>
      <c r="M11" s="49">
        <f ca="1">Tableau13[[#This Row],[Vt  adapté(L)]]*0.08</f>
        <v>3.5440159999999998E-2</v>
      </c>
      <c r="N11" s="48">
        <f ca="1">MAX(OFFSET('INTERVENTION ARM'!$M$1, MATCH($A11, 'INTERVENTION ARM'!$A:$A, 0) - 7, 0, 6))</f>
        <v>20</v>
      </c>
      <c r="O11" s="48">
        <f ca="1">Tableau13[[#This Row],[RR adapté (Cycles/min)]]*0.1</f>
        <v>2</v>
      </c>
      <c r="P11" s="50">
        <f ca="1">IFERROR(MIN(OFFSET('INTERVENTION ARM'!$U$1, MATCH($A11, 'INTERVENTION ARM'!$A:$A, 0) - 7, 0, 6)), "")</f>
        <v>2.6048517599999998</v>
      </c>
      <c r="Q11" s="50">
        <f ca="1">IFERROR(MIN(OFFSET('INTERVENTION ARM'!$U$1, MATCH($A11, 'INTERVENTION ARM'!$A:$A, 0) + 0, 0, 6)), "")</f>
        <v>4.4654601599999992</v>
      </c>
      <c r="R11" s="61">
        <f ca="1">IFERROR(MAX(OFFSET('INTERVENTION ARM'!$Z$1, MATCH($A11, 'INTERVENTION ARM'!$A:$A, 0) - 5, 0, 7)), "")</f>
        <v>1.4719601443879733</v>
      </c>
      <c r="S11" s="61">
        <f ca="1">Tableau13[[#This Row],[u(dP) (cmH2O)]]/(SQRT(6-1))</f>
        <v>0.44721359549995793</v>
      </c>
      <c r="T11" s="61">
        <f ca="1">IFERROR(MAX(OFFSET('INTERVENTION ARM'!$Z$1, MATCH($A11, 'INTERVENTION ARM'!$A:$A, 0) + 2, 0, 7)), "")</f>
        <v>1.3291601358251286</v>
      </c>
      <c r="U11" s="50" t="str">
        <f>IFERROR(_xlfn.XLOOKUP($A11, 'INTERVENTION ARM'!$A:$A, 'INTERVENTION ARM'!AA:AA), "")</f>
        <v>Oui</v>
      </c>
      <c r="V11" s="50">
        <f ca="1">SQRT((((0.098*0.5*Tableau13[[#This Row],[RR adapté (Cycles/min)]]*Tableau13[[#This Row],[dp associée (cmH2O)]]*Tableau13[[#This Row],[u(Vt) (L)]])^2)+((0.098*0.5*Tableau13[[#This Row],[Vt  adapté(L)]]*Tableau13[[#This Row],[dp associée (cmH2O)]]*Tableau13[[#This Row],[u(RR) (Cycles/min)]])^2)+((0.098*0.5*Tableau13[[#This Row],[Vt  adapté(L)]]*Tableau13[[#This Row],[RR adapté (Cycles/min)]]*Tableau13[[#This Row],[u(dP) (cmH2O)]])^2)))</f>
        <v>0.5475010370533312</v>
      </c>
      <c r="W11" s="64">
        <f ca="1">MAX(OFFSET('INTERVENTION ARM'!$X$1, MATCH($A11, 'INTERVENTION ARM'!$A:$A, 0) - 7, 0, 8))</f>
        <v>0.625</v>
      </c>
      <c r="AB11">
        <v>15</v>
      </c>
    </row>
    <row r="12" spans="1:29" x14ac:dyDescent="0.2">
      <c r="A12" s="54">
        <v>11</v>
      </c>
      <c r="B12" s="51" t="str">
        <f>IFERROR(_xlfn.XLOOKUP($A12, 'INTERVENTION ARM'!$A:$A, 'INTERVENTION ARM'!B:B), "")</f>
        <v>F</v>
      </c>
      <c r="C12" s="51">
        <f>IFERROR(_xlfn.XLOOKUP($A12, 'INTERVENTION ARM'!$A:$A, 'INTERVENTION ARM'!C:C), "")</f>
        <v>26</v>
      </c>
      <c r="D12" s="51">
        <f>IFERROR(_xlfn.XLOOKUP($A12, 'INTERVENTION ARM'!$A:$A, 'INTERVENTION ARM'!D:D), "")</f>
        <v>178</v>
      </c>
      <c r="E12" s="51">
        <f>IFERROR(_xlfn.XLOOKUP($A12, 'INTERVENTION ARM'!$A:$A, 'INTERVENTION ARM'!E:E), "")</f>
        <v>140</v>
      </c>
      <c r="F12" s="55">
        <f>IFERROR(_xlfn.XLOOKUP($A12, 'INTERVENTION ARM'!$A:$A, 'INTERVENTION ARM'!F:F), "")</f>
        <v>68.795999999999992</v>
      </c>
      <c r="G12" s="55">
        <f>IFERROR(_xlfn.XLOOKUP($A12, 'INTERVENTION ARM'!$A:$A, 'INTERVENTION ARM'!H:H), "")</f>
        <v>44.186340108572146</v>
      </c>
      <c r="H12" s="51" cm="1">
        <f t="array" aca="1" ref="H12" ca="1">_xlfn.XLOOKUP(P12, OFFSET('INTERVENTION ARM'!$U$1, MATCH($A12, 'INTERVENTION ARM'!$A:$A, 0) - 7, 0, 6), OFFSET('INTERVENTION ARM'!$Q$1, MATCH($A12, 'INTERVENTION ARM'!$A:$A, 0) - 7, 0, 6), "Non trouvé", 0, -1)</f>
        <v>13</v>
      </c>
      <c r="I12" s="51" cm="1">
        <f t="array" aca="1" ref="I12" ca="1">_xlfn.XLOOKUP(P12, OFFSET('INTERVENTION ARM'!$U$1, MATCH($A12, 'INTERVENTION ARM'!$A:$A, 0) - 7, 0, 6), OFFSET('INTERVENTION ARM'!$T$1, MATCH($A12, 'INTERVENTION ARM'!$A:$A, 0) - 7, 0, 6), "Non trouvé", 0, -1)</f>
        <v>18</v>
      </c>
      <c r="J12" s="55" cm="1">
        <f t="array" aca="1" ref="J12" ca="1">_xlfn.XLOOKUP(P12, OFFSET('INTERVENTION ARM'!$U$1, MATCH($A12, 'INTERVENTION ARM'!$A:$A, 0) - 7, 0, 6), OFFSET('INTERVENTION ARM'!$R$1, MATCH($A12, 'INTERVENTION ARM'!$A:$A, 0) - 7, 0, 6), "Non trouvé", 0, -1)</f>
        <v>5</v>
      </c>
      <c r="K12" s="55">
        <f ca="1">ROUNDUP(SQRT((Tableau13[[#This Row],[Pplat (cmH2O)]]*0.04)^2+(Tableau13[[#This Row],[PEEP adaptée (cmH2O)]]*0.04)^2),1)</f>
        <v>0.9</v>
      </c>
      <c r="L12" s="52">
        <f ca="1">MAX(OFFSET('INTERVENTION ARM'!$J$1, MATCH($A12, 'INTERVENTION ARM'!$A:$A, 0) - 7, 0, 6))</f>
        <v>0.48157199999999994</v>
      </c>
      <c r="M12" s="52">
        <f ca="1">Tableau13[[#This Row],[Vt  adapté(L)]]*0.08</f>
        <v>3.8525759999999999E-2</v>
      </c>
      <c r="N12" s="51">
        <f ca="1">MAX(OFFSET('INTERVENTION ARM'!$M$1, MATCH($A12, 'INTERVENTION ARM'!$A:$A, 0) - 7, 0, 6))</f>
        <v>13</v>
      </c>
      <c r="O12" s="51">
        <f ca="1">Tableau13[[#This Row],[RR adapté (Cycles/min)]]*0.1</f>
        <v>1.3</v>
      </c>
      <c r="P12" s="53">
        <f ca="1">IFERROR(MIN(OFFSET('INTERVENTION ARM'!$U$1, MATCH($A12, 'INTERVENTION ARM'!$A:$A, 0) - 7, 0, 6)), "")</f>
        <v>1.5338068199999999</v>
      </c>
      <c r="Q12" s="53">
        <f ca="1">IFERROR(MIN(OFFSET('INTERVENTION ARM'!$U$1, MATCH($A12, 'INTERVENTION ARM'!$A:$A, 0) + 0, 0, 6)), "")</f>
        <v>2.4271228799999998</v>
      </c>
      <c r="R12" s="62">
        <f ca="1">IFERROR(MAX(OFFSET('INTERVENTION ARM'!$Z$1, MATCH($A12, 'INTERVENTION ARM'!$A:$A, 0) - 5, 0, 7)), "")</f>
        <v>0.75277265270908222</v>
      </c>
      <c r="S12" s="62">
        <f ca="1">Tableau13[[#This Row],[u(dP) (cmH2O)]]/(SQRT(6-1))</f>
        <v>0.40249223594996214</v>
      </c>
      <c r="T12" s="62">
        <f ca="1">IFERROR(MAX(OFFSET('INTERVENTION ARM'!$Z$1, MATCH($A12, 'INTERVENTION ARM'!$A:$A, 0) + 2, 0, 7)), "")</f>
        <v>0</v>
      </c>
      <c r="U12" s="53" t="str">
        <f>IFERROR(_xlfn.XLOOKUP($A12, 'INTERVENTION ARM'!$A:$A, 'INTERVENTION ARM'!AA:AA), "")</f>
        <v>Oui</v>
      </c>
      <c r="V12" s="53">
        <f ca="1">SQRT((((0.098*0.5*Tableau13[[#This Row],[RR adapté (Cycles/min)]]*Tableau13[[#This Row],[dp associée (cmH2O)]]*Tableau13[[#This Row],[u(Vt) (L)]])^2)+((0.098*0.5*Tableau13[[#This Row],[Vt  adapté(L)]]*Tableau13[[#This Row],[dp associée (cmH2O)]]*Tableau13[[#This Row],[u(RR) (Cycles/min)]])^2)+((0.098*0.5*Tableau13[[#This Row],[Vt  adapté(L)]]*Tableau13[[#This Row],[RR adapté (Cycles/min)]]*Tableau13[[#This Row],[u(dP) (cmH2O)]])^2)))</f>
        <v>0.33882900115047915</v>
      </c>
      <c r="W12" s="65">
        <f ca="1">MAX(OFFSET('INTERVENTION ARM'!$X$1, MATCH($A12, 'INTERVENTION ARM'!$A:$A, 0) - 7, 0, 8))</f>
        <v>0.875</v>
      </c>
      <c r="AB12">
        <v>21</v>
      </c>
    </row>
    <row r="13" spans="1:29" x14ac:dyDescent="0.2">
      <c r="A13" s="56">
        <v>12</v>
      </c>
      <c r="B13" s="48" t="str">
        <f>IFERROR(_xlfn.XLOOKUP($A13, 'INTERVENTION ARM'!$A:$A, 'INTERVENTION ARM'!B:B), "")</f>
        <v>M</v>
      </c>
      <c r="C13" s="48">
        <f>IFERROR(_xlfn.XLOOKUP($A13, 'INTERVENTION ARM'!$A:$A, 'INTERVENTION ARM'!C:C), "")</f>
        <v>88</v>
      </c>
      <c r="D13" s="48">
        <f>IFERROR(_xlfn.XLOOKUP($A13, 'INTERVENTION ARM'!$A:$A, 'INTERVENTION ARM'!D:D), "")</f>
        <v>170</v>
      </c>
      <c r="E13" s="48">
        <f>IFERROR(_xlfn.XLOOKUP($A13, 'INTERVENTION ARM'!$A:$A, 'INTERVENTION ARM'!E:E), "")</f>
        <v>61</v>
      </c>
      <c r="F13" s="57">
        <f>IFERROR(_xlfn.XLOOKUP($A13, 'INTERVENTION ARM'!$A:$A, 'INTERVENTION ARM'!F:F), "")</f>
        <v>66.015999999999991</v>
      </c>
      <c r="G13" s="57">
        <f>IFERROR(_xlfn.XLOOKUP($A13, 'INTERVENTION ARM'!$A:$A, 'INTERVENTION ARM'!H:H), "")</f>
        <v>21.107266435986162</v>
      </c>
      <c r="H13" s="48" cm="1">
        <f t="array" aca="1" ref="H13" ca="1">_xlfn.XLOOKUP(P13, OFFSET('INTERVENTION ARM'!$U$1, MATCH($A13, 'INTERVENTION ARM'!$A:$A, 0) - 7, 0, 6), OFFSET('INTERVENTION ARM'!$Q$1, MATCH($A13, 'INTERVENTION ARM'!$A:$A, 0) - 7, 0, 6), "Non trouvé", 0, -1)</f>
        <v>5</v>
      </c>
      <c r="I13" s="48" cm="1">
        <f t="array" aca="1" ref="I13" ca="1">_xlfn.XLOOKUP(P13, OFFSET('INTERVENTION ARM'!$U$1, MATCH($A13, 'INTERVENTION ARM'!$A:$A, 0) - 7, 0, 6), OFFSET('INTERVENTION ARM'!$T$1, MATCH($A13, 'INTERVENTION ARM'!$A:$A, 0) - 7, 0, 6), "Non trouvé", 0, -1)</f>
        <v>14</v>
      </c>
      <c r="J13" s="57" cm="1">
        <f t="array" aca="1" ref="J13" ca="1">_xlfn.XLOOKUP(P13, OFFSET('INTERVENTION ARM'!$U$1, MATCH($A13, 'INTERVENTION ARM'!$A:$A, 0) - 7, 0, 6), OFFSET('INTERVENTION ARM'!$R$1, MATCH($A13, 'INTERVENTION ARM'!$A:$A, 0) - 7, 0, 6), "Non trouvé", 0, -1)</f>
        <v>9</v>
      </c>
      <c r="K13" s="57">
        <f ca="1">ROUNDUP(SQRT((Tableau13[[#This Row],[Pplat (cmH2O)]]*0.04)^2+(Tableau13[[#This Row],[PEEP adaptée (cmH2O)]]*0.04)^2),1)</f>
        <v>0.6</v>
      </c>
      <c r="L13" s="49">
        <f ca="1">MAX(OFFSET('INTERVENTION ARM'!$J$1, MATCH($A13, 'INTERVENTION ARM'!$A:$A, 0) - 7, 0, 6))</f>
        <v>0.46211199999999997</v>
      </c>
      <c r="M13" s="49">
        <f ca="1">Tableau13[[#This Row],[Vt  adapté(L)]]*0.08</f>
        <v>3.6968959999999995E-2</v>
      </c>
      <c r="N13" s="48">
        <f ca="1">MAX(OFFSET('INTERVENTION ARM'!$M$1, MATCH($A13, 'INTERVENTION ARM'!$A:$A, 0) - 7, 0, 6))</f>
        <v>11</v>
      </c>
      <c r="O13" s="48">
        <f ca="1">Tableau13[[#This Row],[RR adapté (Cycles/min)]]*0.1</f>
        <v>1.1000000000000001</v>
      </c>
      <c r="P13" s="50">
        <f ca="1">IFERROR(MIN(OFFSET('INTERVENTION ARM'!$U$1, MATCH($A13, 'INTERVENTION ARM'!$A:$A, 0) - 7, 0, 6)), "")</f>
        <v>2.2417053120000001</v>
      </c>
      <c r="Q13" s="50">
        <f ca="1">IFERROR(MIN(OFFSET('INTERVENTION ARM'!$U$1, MATCH($A13, 'INTERVENTION ARM'!$A:$A, 0) + 0, 0, 6)), "")</f>
        <v>3.9302625599999992</v>
      </c>
      <c r="R13" s="61">
        <f ca="1">IFERROR(MAX(OFFSET('INTERVENTION ARM'!$Z$1, MATCH($A13, 'INTERVENTION ARM'!$A:$A, 0) - 5, 0, 7)), "")</f>
        <v>1.2110601416389999</v>
      </c>
      <c r="S13" s="61">
        <f ca="1">Tableau13[[#This Row],[u(dP) (cmH2O)]]/(SQRT(6-1))</f>
        <v>0.26832815729997472</v>
      </c>
      <c r="T13" s="61">
        <f ca="1">IFERROR(MAX(OFFSET('INTERVENTION ARM'!$Z$1, MATCH($A13, 'INTERVENTION ARM'!$A:$A, 0) + 2, 0, 7)), "")</f>
        <v>1.2649110640673518</v>
      </c>
      <c r="U13" s="50" t="str">
        <f>IFERROR(_xlfn.XLOOKUP($A13, 'INTERVENTION ARM'!$A:$A, 'INTERVENTION ARM'!AA:AA), "")</f>
        <v>Oui</v>
      </c>
      <c r="V13" s="50">
        <f ca="1">SQRT((((0.098*0.5*Tableau13[[#This Row],[RR adapté (Cycles/min)]]*Tableau13[[#This Row],[dp associée (cmH2O)]]*Tableau13[[#This Row],[u(Vt) (L)]])^2)+((0.098*0.5*Tableau13[[#This Row],[Vt  adapté(L)]]*Tableau13[[#This Row],[dp associée (cmH2O)]]*Tableau13[[#This Row],[u(RR) (Cycles/min)]])^2)+((0.098*0.5*Tableau13[[#This Row],[Vt  adapté(L)]]*Tableau13[[#This Row],[RR adapté (Cycles/min)]]*Tableau13[[#This Row],[u(dP) (cmH2O)]])^2)))</f>
        <v>0.32364856310807177</v>
      </c>
      <c r="W13" s="64">
        <f ca="1">MAX(OFFSET('INTERVENTION ARM'!$X$1, MATCH($A13, 'INTERVENTION ARM'!$A:$A, 0) - 7, 0, 8))</f>
        <v>0.83333333333333337</v>
      </c>
      <c r="Y13" s="127"/>
      <c r="AB13">
        <v>20</v>
      </c>
    </row>
    <row r="14" spans="1:29" x14ac:dyDescent="0.2">
      <c r="A14" s="54">
        <v>13</v>
      </c>
      <c r="B14" s="51" t="str">
        <f>IFERROR(_xlfn.XLOOKUP($A14, 'INTERVENTION ARM'!$A:$A, 'INTERVENTION ARM'!B:B), "")</f>
        <v>M</v>
      </c>
      <c r="C14" s="51">
        <f>IFERROR(_xlfn.XLOOKUP($A14, 'INTERVENTION ARM'!$A:$A, 'INTERVENTION ARM'!C:C), "")</f>
        <v>61</v>
      </c>
      <c r="D14" s="51">
        <f>IFERROR(_xlfn.XLOOKUP($A14, 'INTERVENTION ARM'!$A:$A, 'INTERVENTION ARM'!D:D), "")</f>
        <v>185</v>
      </c>
      <c r="E14" s="51">
        <f>IFERROR(_xlfn.XLOOKUP($A14, 'INTERVENTION ARM'!$A:$A, 'INTERVENTION ARM'!E:E), "")</f>
        <v>85</v>
      </c>
      <c r="F14" s="55">
        <f>IFERROR(_xlfn.XLOOKUP($A14, 'INTERVENTION ARM'!$A:$A, 'INTERVENTION ARM'!F:F), "")</f>
        <v>79.665999999999997</v>
      </c>
      <c r="G14" s="55">
        <f>IFERROR(_xlfn.XLOOKUP($A14, 'INTERVENTION ARM'!$A:$A, 'INTERVENTION ARM'!H:H), "")</f>
        <v>24.835646457268076</v>
      </c>
      <c r="H14" s="51" cm="1">
        <f t="array" aca="1" ref="H14" ca="1">_xlfn.XLOOKUP(P14, OFFSET('INTERVENTION ARM'!$U$1, MATCH($A14, 'INTERVENTION ARM'!$A:$A, 0) - 7, 0, 6), OFFSET('INTERVENTION ARM'!$Q$1, MATCH($A14, 'INTERVENTION ARM'!$A:$A, 0) - 7, 0, 6), "Non trouvé", 0, -1)</f>
        <v>9</v>
      </c>
      <c r="I14" s="51" cm="1">
        <f t="array" aca="1" ref="I14" ca="1">_xlfn.XLOOKUP(P14, OFFSET('INTERVENTION ARM'!$U$1, MATCH($A14, 'INTERVENTION ARM'!$A:$A, 0) - 7, 0, 6), OFFSET('INTERVENTION ARM'!$T$1, MATCH($A14, 'INTERVENTION ARM'!$A:$A, 0) - 7, 0, 6), "Non trouvé", 0, -1)</f>
        <v>16</v>
      </c>
      <c r="J14" s="55" cm="1">
        <f t="array" aca="1" ref="J14" ca="1">_xlfn.XLOOKUP(P14, OFFSET('INTERVENTION ARM'!$U$1, MATCH($A14, 'INTERVENTION ARM'!$A:$A, 0) - 7, 0, 6), OFFSET('INTERVENTION ARM'!$R$1, MATCH($A14, 'INTERVENTION ARM'!$A:$A, 0) - 7, 0, 6), "Non trouvé", 0, -1)</f>
        <v>7</v>
      </c>
      <c r="K14" s="55">
        <f ca="1">ROUNDUP(SQRT((Tableau13[[#This Row],[Pplat (cmH2O)]]*0.04)^2+(Tableau13[[#This Row],[PEEP adaptée (cmH2O)]]*0.04)^2),1)</f>
        <v>0.79999999999999993</v>
      </c>
      <c r="L14" s="52">
        <f ca="1">MAX(OFFSET('INTERVENTION ARM'!$J$1, MATCH($A14, 'INTERVENTION ARM'!$A:$A, 0) - 7, 0, 6))</f>
        <v>0.55766199999999999</v>
      </c>
      <c r="M14" s="52">
        <f ca="1">Tableau13[[#This Row],[Vt  adapté(L)]]*0.08</f>
        <v>4.461296E-2</v>
      </c>
      <c r="N14" s="51">
        <f ca="1">MAX(OFFSET('INTERVENTION ARM'!$M$1, MATCH($A14, 'INTERVENTION ARM'!$A:$A, 0) - 7, 0, 6))</f>
        <v>11</v>
      </c>
      <c r="O14" s="51">
        <f ca="1">Tableau13[[#This Row],[RR adapté (Cycles/min)]]*0.1</f>
        <v>1.1000000000000001</v>
      </c>
      <c r="P14" s="53">
        <f ca="1">IFERROR(MIN(OFFSET('INTERVENTION ARM'!$U$1, MATCH($A14, 'INTERVENTION ARM'!$A:$A, 0) - 7, 0, 6)), "")</f>
        <v>2.1040587259999999</v>
      </c>
      <c r="Q14" s="53">
        <f ca="1">IFERROR(MIN(OFFSET('INTERVENTION ARM'!$U$1, MATCH($A14, 'INTERVENTION ARM'!$A:$A, 0) + 0, 0, 6)), "")</f>
        <v>3.4781378939999996</v>
      </c>
      <c r="R14" s="62">
        <f ca="1">IFERROR(MAX(OFFSET('INTERVENTION ARM'!$Z$1, MATCH($A14, 'INTERVENTION ARM'!$A:$A, 0) - 5, 0, 7)), "")</f>
        <v>0.54772255750516607</v>
      </c>
      <c r="S14" s="62">
        <f ca="1">Tableau13[[#This Row],[u(dP) (cmH2O)]]/(SQRT(6-1))</f>
        <v>0.3577708763999663</v>
      </c>
      <c r="T14" s="62">
        <f ca="1">IFERROR(MAX(OFFSET('INTERVENTION ARM'!$Z$1, MATCH($A14, 'INTERVENTION ARM'!$A:$A, 0) + 2, 0, 7)), "")</f>
        <v>0.54772255750516607</v>
      </c>
      <c r="U14" s="53" t="str">
        <f>IFERROR(_xlfn.XLOOKUP($A14, 'INTERVENTION ARM'!$A:$A, 'INTERVENTION ARM'!AA:AA), "")</f>
        <v>Oui</v>
      </c>
      <c r="V14" s="53">
        <f ca="1">SQRT((((0.098*0.5*Tableau13[[#This Row],[RR adapté (Cycles/min)]]*Tableau13[[#This Row],[dp associée (cmH2O)]]*Tableau13[[#This Row],[u(Vt) (L)]])^2)+((0.098*0.5*Tableau13[[#This Row],[Vt  adapté(L)]]*Tableau13[[#This Row],[dp associée (cmH2O)]]*Tableau13[[#This Row],[u(RR) (Cycles/min)]])^2)+((0.098*0.5*Tableau13[[#This Row],[Vt  adapté(L)]]*Tableau13[[#This Row],[RR adapté (Cycles/min)]]*Tableau13[[#This Row],[u(dP) (cmH2O)]])^2)))</f>
        <v>0.36114636988511317</v>
      </c>
      <c r="W14" s="65">
        <f ca="1">MAX(OFFSET('INTERVENTION ARM'!$X$1, MATCH($A14, 'INTERVENTION ARM'!$A:$A, 0) - 7, 0, 8))</f>
        <v>0.60972222222222228</v>
      </c>
      <c r="AB14">
        <v>14</v>
      </c>
    </row>
    <row r="15" spans="1:29" x14ac:dyDescent="0.2">
      <c r="A15" s="56">
        <v>14</v>
      </c>
      <c r="B15" s="48" t="str">
        <f>IFERROR(_xlfn.XLOOKUP($A15, 'INTERVENTION ARM'!$A:$A, 'INTERVENTION ARM'!B:B), "")</f>
        <v>F</v>
      </c>
      <c r="C15" s="48">
        <f>IFERROR(_xlfn.XLOOKUP($A15, 'INTERVENTION ARM'!$A:$A, 'INTERVENTION ARM'!C:C), "")</f>
        <v>58</v>
      </c>
      <c r="D15" s="48">
        <f>IFERROR(_xlfn.XLOOKUP($A15, 'INTERVENTION ARM'!$A:$A, 'INTERVENTION ARM'!D:D), "")</f>
        <v>163</v>
      </c>
      <c r="E15" s="48">
        <f>IFERROR(_xlfn.XLOOKUP($A15, 'INTERVENTION ARM'!$A:$A, 'INTERVENTION ARM'!E:E), "")</f>
        <v>63</v>
      </c>
      <c r="F15" s="57">
        <f>IFERROR(_xlfn.XLOOKUP($A15, 'INTERVENTION ARM'!$A:$A, 'INTERVENTION ARM'!F:F), "")</f>
        <v>55.145999999999994</v>
      </c>
      <c r="G15" s="57">
        <f>IFERROR(_xlfn.XLOOKUP($A15, 'INTERVENTION ARM'!$A:$A, 'INTERVENTION ARM'!H:H), "")</f>
        <v>23.711844630960893</v>
      </c>
      <c r="H15" s="48" cm="1">
        <f t="array" aca="1" ref="H15" ca="1">_xlfn.XLOOKUP(P15, OFFSET('INTERVENTION ARM'!$U$1, MATCH($A15, 'INTERVENTION ARM'!$A:$A, 0) - 7, 0, 6), OFFSET('INTERVENTION ARM'!$Q$1, MATCH($A15, 'INTERVENTION ARM'!$A:$A, 0) - 7, 0, 6), "Non trouvé", 0, -1)</f>
        <v>7</v>
      </c>
      <c r="I15" s="48" cm="1">
        <f t="array" aca="1" ref="I15" ca="1">_xlfn.XLOOKUP(P15, OFFSET('INTERVENTION ARM'!$U$1, MATCH($A15, 'INTERVENTION ARM'!$A:$A, 0) - 7, 0, 6), OFFSET('INTERVENTION ARM'!$T$1, MATCH($A15, 'INTERVENTION ARM'!$A:$A, 0) - 7, 0, 6), "Non trouvé", 0, -1)</f>
        <v>13</v>
      </c>
      <c r="J15" s="57" cm="1">
        <f t="array" aca="1" ref="J15" ca="1">_xlfn.XLOOKUP(P15, OFFSET('INTERVENTION ARM'!$U$1, MATCH($A15, 'INTERVENTION ARM'!$A:$A, 0) - 7, 0, 6), OFFSET('INTERVENTION ARM'!$R$1, MATCH($A15, 'INTERVENTION ARM'!$A:$A, 0) - 7, 0, 6), "Non trouvé", 0, -1)</f>
        <v>6</v>
      </c>
      <c r="K15" s="57">
        <f ca="1">ROUNDUP(SQRT((Tableau13[[#This Row],[Pplat (cmH2O)]]*0.04)^2+(Tableau13[[#This Row],[PEEP adaptée (cmH2O)]]*0.04)^2),1)</f>
        <v>0.6</v>
      </c>
      <c r="L15" s="49">
        <f ca="1">MAX(OFFSET('INTERVENTION ARM'!$J$1, MATCH($A15, 'INTERVENTION ARM'!$A:$A, 0) - 7, 0, 6))</f>
        <v>0.38602199999999992</v>
      </c>
      <c r="M15" s="49">
        <f ca="1">Tableau13[[#This Row],[Vt  adapté(L)]]*0.08</f>
        <v>3.0881759999999994E-2</v>
      </c>
      <c r="N15" s="48">
        <f ca="1">MAX(OFFSET('INTERVENTION ARM'!$M$1, MATCH($A15, 'INTERVENTION ARM'!$A:$A, 0) - 7, 0, 6))</f>
        <v>13</v>
      </c>
      <c r="O15" s="48">
        <f ca="1">Tableau13[[#This Row],[RR adapté (Cycles/min)]]*0.1</f>
        <v>1.3</v>
      </c>
      <c r="P15" s="50">
        <f ca="1">IFERROR(MIN(OFFSET('INTERVENTION ARM'!$U$1, MATCH($A15, 'INTERVENTION ARM'!$A:$A, 0) - 7, 0, 6)), "")</f>
        <v>1.4753760839999999</v>
      </c>
      <c r="Q15" s="50">
        <f ca="1">IFERROR(MIN(OFFSET('INTERVENTION ARM'!$U$1, MATCH($A15, 'INTERVENTION ARM'!$A:$A, 0) + 0, 0, 6)), "")</f>
        <v>1.896912108</v>
      </c>
      <c r="R15" s="61">
        <f ca="1">IFERROR(MAX(OFFSET('INTERVENTION ARM'!$Z$1, MATCH($A15, 'INTERVENTION ARM'!$A:$A, 0) - 5, 0, 7)), "")</f>
        <v>0.40824829046386302</v>
      </c>
      <c r="S15" s="61">
        <f ca="1">Tableau13[[#This Row],[u(dP) (cmH2O)]]/(SQRT(6-1))</f>
        <v>0.26832815729997472</v>
      </c>
      <c r="T15" s="61">
        <f ca="1">IFERROR(MAX(OFFSET('INTERVENTION ARM'!$Z$1, MATCH($A15, 'INTERVENTION ARM'!$A:$A, 0) + 2, 0, 7)), "")</f>
        <v>0.51639777949432231</v>
      </c>
      <c r="U15" s="50" t="str">
        <f>IFERROR(_xlfn.XLOOKUP($A15, 'INTERVENTION ARM'!$A:$A, 'INTERVENTION ARM'!AA:AA), "")</f>
        <v>Oui</v>
      </c>
      <c r="V15" s="50">
        <f ca="1">SQRT((((0.098*0.5*Tableau13[[#This Row],[RR adapté (Cycles/min)]]*Tableau13[[#This Row],[dp associée (cmH2O)]]*Tableau13[[#This Row],[u(Vt) (L)]])^2)+((0.098*0.5*Tableau13[[#This Row],[Vt  adapté(L)]]*Tableau13[[#This Row],[dp associée (cmH2O)]]*Tableau13[[#This Row],[u(RR) (Cycles/min)]])^2)+((0.098*0.5*Tableau13[[#This Row],[Vt  adapté(L)]]*Tableau13[[#This Row],[RR adapté (Cycles/min)]]*Tableau13[[#This Row],[u(dP) (cmH2O)]])^2)))</f>
        <v>0.23972023935394818</v>
      </c>
      <c r="W15" s="64">
        <f ca="1">MAX(OFFSET('INTERVENTION ARM'!$X$1, MATCH($A15, 'INTERVENTION ARM'!$A:$A, 0) - 7, 0, 8))</f>
        <v>0.73263888888888884</v>
      </c>
      <c r="AB15">
        <v>17</v>
      </c>
    </row>
    <row r="16" spans="1:29" x14ac:dyDescent="0.2">
      <c r="A16" s="54">
        <v>15</v>
      </c>
      <c r="B16" s="51" t="str">
        <f>IFERROR(_xlfn.XLOOKUP($A16, 'INTERVENTION ARM'!$A:$A, 'INTERVENTION ARM'!B:B), "")</f>
        <v>M</v>
      </c>
      <c r="C16" s="51">
        <f>IFERROR(_xlfn.XLOOKUP($A16, 'INTERVENTION ARM'!$A:$A, 'INTERVENTION ARM'!C:C), "")</f>
        <v>76</v>
      </c>
      <c r="D16" s="51">
        <f>IFERROR(_xlfn.XLOOKUP($A16, 'INTERVENTION ARM'!$A:$A, 'INTERVENTION ARM'!D:D), "")</f>
        <v>175</v>
      </c>
      <c r="E16" s="51">
        <f>IFERROR(_xlfn.XLOOKUP($A16, 'INTERVENTION ARM'!$A:$A, 'INTERVENTION ARM'!E:E), "")</f>
        <v>95</v>
      </c>
      <c r="F16" s="55">
        <f>IFERROR(_xlfn.XLOOKUP($A16, 'INTERVENTION ARM'!$A:$A, 'INTERVENTION ARM'!F:F), "")</f>
        <v>70.566000000000003</v>
      </c>
      <c r="G16" s="55">
        <f>IFERROR(_xlfn.XLOOKUP($A16, 'INTERVENTION ARM'!$A:$A, 'INTERVENTION ARM'!H:H), "")</f>
        <v>31.020408163265305</v>
      </c>
      <c r="H16" s="51" cm="1">
        <f t="array" aca="1" ref="H16" ca="1">_xlfn.XLOOKUP(P16, OFFSET('INTERVENTION ARM'!$U$1, MATCH($A16, 'INTERVENTION ARM'!$A:$A, 0) - 7, 0, 6), OFFSET('INTERVENTION ARM'!$Q$1, MATCH($A16, 'INTERVENTION ARM'!$A:$A, 0) - 7, 0, 6), "Non trouvé", 0, -1)</f>
        <v>7</v>
      </c>
      <c r="I16" s="51" cm="1">
        <f t="array" aca="1" ref="I16" ca="1">_xlfn.XLOOKUP(P16, OFFSET('INTERVENTION ARM'!$U$1, MATCH($A16, 'INTERVENTION ARM'!$A:$A, 0) - 7, 0, 6), OFFSET('INTERVENTION ARM'!$T$1, MATCH($A16, 'INTERVENTION ARM'!$A:$A, 0) - 7, 0, 6), "Non trouvé", 0, -1)</f>
        <v>14</v>
      </c>
      <c r="J16" s="55" cm="1">
        <f t="array" aca="1" ref="J16" ca="1">_xlfn.XLOOKUP(P16, OFFSET('INTERVENTION ARM'!$U$1, MATCH($A16, 'INTERVENTION ARM'!$A:$A, 0) - 7, 0, 6), OFFSET('INTERVENTION ARM'!$R$1, MATCH($A16, 'INTERVENTION ARM'!$A:$A, 0) - 7, 0, 6), "Non trouvé", 0, -1)</f>
        <v>7</v>
      </c>
      <c r="K16" s="55">
        <f ca="1">ROUNDUP(SQRT((Tableau13[[#This Row],[Pplat (cmH2O)]]*0.04)^2+(Tableau13[[#This Row],[PEEP adaptée (cmH2O)]]*0.04)^2),1)</f>
        <v>0.7</v>
      </c>
      <c r="L16" s="52">
        <f ca="1">MAX(OFFSET('INTERVENTION ARM'!$J$1, MATCH($A16, 'INTERVENTION ARM'!$A:$A, 0) - 7, 0, 6))</f>
        <v>0.49396200000000001</v>
      </c>
      <c r="M16" s="52">
        <f ca="1">Tableau13[[#This Row],[Vt  adapté(L)]]*0.08</f>
        <v>3.9516960000000004E-2</v>
      </c>
      <c r="N16" s="51">
        <f ca="1">MAX(OFFSET('INTERVENTION ARM'!$M$1, MATCH($A16, 'INTERVENTION ARM'!$A:$A, 0) - 7, 0, 6))</f>
        <v>11</v>
      </c>
      <c r="O16" s="51">
        <f ca="1">Tableau13[[#This Row],[RR adapté (Cycles/min)]]*0.1</f>
        <v>1.1000000000000001</v>
      </c>
      <c r="P16" s="53">
        <f ca="1">IFERROR(MIN(OFFSET('INTERVENTION ARM'!$U$1, MATCH($A16, 'INTERVENTION ARM'!$A:$A, 0) - 7, 0, 6)), "")</f>
        <v>1.863718626</v>
      </c>
      <c r="Q16" s="53">
        <f ca="1">IFERROR(MIN(OFFSET('INTERVENTION ARM'!$U$1, MATCH($A16, 'INTERVENTION ARM'!$A:$A, 0) + 0, 0, 6)), "")</f>
        <v>3.6409939020000004</v>
      </c>
      <c r="R16" s="62">
        <f ca="1">IFERROR(MAX(OFFSET('INTERVENTION ARM'!$Z$1, MATCH($A16, 'INTERVENTION ARM'!$A:$A, 0) - 5, 0, 7)), "")</f>
        <v>0.51639777949432231</v>
      </c>
      <c r="S16" s="62">
        <f ca="1">Tableau13[[#This Row],[u(dP) (cmH2O)]]/(SQRT(6-1))</f>
        <v>0.31304951684997051</v>
      </c>
      <c r="T16" s="62">
        <f ca="1">IFERROR(MAX(OFFSET('INTERVENTION ARM'!$Z$1, MATCH($A16, 'INTERVENTION ARM'!$A:$A, 0) + 2, 0, 7)), "")</f>
        <v>0.63245553203367588</v>
      </c>
      <c r="U16" s="53" t="str">
        <f>IFERROR(_xlfn.XLOOKUP($A16, 'INTERVENTION ARM'!$A:$A, 'INTERVENTION ARM'!AA:AA), "")</f>
        <v>Oui</v>
      </c>
      <c r="V16" s="53">
        <f ca="1">SQRT((((0.098*0.5*Tableau13[[#This Row],[RR adapté (Cycles/min)]]*Tableau13[[#This Row],[dp associée (cmH2O)]]*Tableau13[[#This Row],[u(Vt) (L)]])^2)+((0.098*0.5*Tableau13[[#This Row],[Vt  adapté(L)]]*Tableau13[[#This Row],[dp associée (cmH2O)]]*Tableau13[[#This Row],[u(RR) (Cycles/min)]])^2)+((0.098*0.5*Tableau13[[#This Row],[Vt  adapté(L)]]*Tableau13[[#This Row],[RR adapté (Cycles/min)]]*Tableau13[[#This Row],[u(dP) (cmH2O)]])^2)))</f>
        <v>0.30281843386118729</v>
      </c>
      <c r="W16" s="65">
        <f ca="1">MAX(OFFSET('INTERVENTION ARM'!$X$1, MATCH($A16, 'INTERVENTION ARM'!$A:$A, 0) - 7, 0, 8))</f>
        <v>0.79166666666666663</v>
      </c>
      <c r="AB16">
        <v>19</v>
      </c>
    </row>
    <row r="17" spans="1:28" x14ac:dyDescent="0.2">
      <c r="A17" s="56">
        <v>16</v>
      </c>
      <c r="B17" s="48" t="str">
        <f>IFERROR(_xlfn.XLOOKUP($A17, 'INTERVENTION ARM'!$A:$A, 'INTERVENTION ARM'!B:B), "")</f>
        <v>M</v>
      </c>
      <c r="C17" s="48">
        <f>IFERROR(_xlfn.XLOOKUP($A17, 'INTERVENTION ARM'!$A:$A, 'INTERVENTION ARM'!C:C), "")</f>
        <v>67</v>
      </c>
      <c r="D17" s="48">
        <f>IFERROR(_xlfn.XLOOKUP($A17, 'INTERVENTION ARM'!$A:$A, 'INTERVENTION ARM'!D:D), "")</f>
        <v>180</v>
      </c>
      <c r="E17" s="48">
        <f>IFERROR(_xlfn.XLOOKUP($A17, 'INTERVENTION ARM'!$A:$A, 'INTERVENTION ARM'!E:E), "")</f>
        <v>120</v>
      </c>
      <c r="F17" s="57">
        <f>IFERROR(_xlfn.XLOOKUP($A17, 'INTERVENTION ARM'!$A:$A, 'INTERVENTION ARM'!F:F), "")</f>
        <v>75.116</v>
      </c>
      <c r="G17" s="57">
        <f>IFERROR(_xlfn.XLOOKUP($A17, 'INTERVENTION ARM'!$A:$A, 'INTERVENTION ARM'!H:H), "")</f>
        <v>37.037037037037038</v>
      </c>
      <c r="H17" s="48" cm="1">
        <f t="array" aca="1" ref="H17" ca="1">_xlfn.XLOOKUP(P17, OFFSET('INTERVENTION ARM'!$U$1, MATCH($A17, 'INTERVENTION ARM'!$A:$A, 0) - 7, 0, 6), OFFSET('INTERVENTION ARM'!$Q$1, MATCH($A17, 'INTERVENTION ARM'!$A:$A, 0) - 7, 0, 6), "Non trouvé", 0, -1)</f>
        <v>7</v>
      </c>
      <c r="I17" s="48" cm="1">
        <f t="array" aca="1" ref="I17" ca="1">_xlfn.XLOOKUP(P17, OFFSET('INTERVENTION ARM'!$U$1, MATCH($A17, 'INTERVENTION ARM'!$A:$A, 0) - 7, 0, 6), OFFSET('INTERVENTION ARM'!$T$1, MATCH($A17, 'INTERVENTION ARM'!$A:$A, 0) - 7, 0, 6), "Non trouvé", 0, -1)</f>
        <v>16</v>
      </c>
      <c r="J17" s="57" cm="1">
        <f t="array" aca="1" ref="J17" ca="1">_xlfn.XLOOKUP(P17, OFFSET('INTERVENTION ARM'!$U$1, MATCH($A17, 'INTERVENTION ARM'!$A:$A, 0) - 7, 0, 6), OFFSET('INTERVENTION ARM'!$R$1, MATCH($A17, 'INTERVENTION ARM'!$A:$A, 0) - 7, 0, 6), "Non trouvé", 0, -1)</f>
        <v>9</v>
      </c>
      <c r="K17" s="57">
        <f ca="1">ROUNDUP(SQRT((Tableau13[[#This Row],[Pplat (cmH2O)]]*0.04)^2+(Tableau13[[#This Row],[PEEP adaptée (cmH2O)]]*0.04)^2),1)</f>
        <v>0.7</v>
      </c>
      <c r="L17" s="49">
        <f ca="1">MAX(OFFSET('INTERVENTION ARM'!$J$1, MATCH($A17, 'INTERVENTION ARM'!$A:$A, 0) - 7, 0, 6))</f>
        <v>0.52581200000000006</v>
      </c>
      <c r="M17" s="49">
        <f ca="1">Tableau13[[#This Row],[Vt  adapté(L)]]*0.08</f>
        <v>4.2064960000000005E-2</v>
      </c>
      <c r="N17" s="48">
        <f ca="1">MAX(OFFSET('INTERVENTION ARM'!$M$1, MATCH($A17, 'INTERVENTION ARM'!$A:$A, 0) - 7, 0, 6))</f>
        <v>10</v>
      </c>
      <c r="O17" s="48">
        <f ca="1">Tableau13[[#This Row],[RR adapté (Cycles/min)]]*0.1</f>
        <v>1</v>
      </c>
      <c r="P17" s="50">
        <f ca="1">IFERROR(MIN(OFFSET('INTERVENTION ARM'!$U$1, MATCH($A17, 'INTERVENTION ARM'!$A:$A, 0) - 7, 0, 6)), "")</f>
        <v>2.3188309200000004</v>
      </c>
      <c r="Q17" s="50">
        <f ca="1">IFERROR(MIN(OFFSET('INTERVENTION ARM'!$U$1, MATCH($A17, 'INTERVENTION ARM'!$A:$A, 0) + 0, 0, 6)), "")</f>
        <v>3.1801109759999999</v>
      </c>
      <c r="R17" s="61">
        <f ca="1">IFERROR(MAX(OFFSET('INTERVENTION ARM'!$Z$1, MATCH($A17, 'INTERVENTION ARM'!$A:$A, 0) - 5, 0, 7)), "")</f>
        <v>0.40824829046386302</v>
      </c>
      <c r="S17" s="61">
        <f ca="1">Tableau13[[#This Row],[u(dP) (cmH2O)]]/(SQRT(6-1))</f>
        <v>0.31304951684997051</v>
      </c>
      <c r="T17" s="61">
        <f ca="1">IFERROR(MAX(OFFSET('INTERVENTION ARM'!$Z$1, MATCH($A17, 'INTERVENTION ARM'!$A:$A, 0) + 2, 0, 7)), "")</f>
        <v>9.4109864874340712</v>
      </c>
      <c r="U17" s="50" t="str">
        <f>IFERROR(_xlfn.XLOOKUP($A17, 'INTERVENTION ARM'!$A:$A, 'INTERVENTION ARM'!AA:AA), "")</f>
        <v>Oui</v>
      </c>
      <c r="V17" s="50">
        <f ca="1">SQRT((((0.098*0.5*Tableau13[[#This Row],[RR adapté (Cycles/min)]]*Tableau13[[#This Row],[dp associée (cmH2O)]]*Tableau13[[#This Row],[u(Vt) (L)]])^2)+((0.098*0.5*Tableau13[[#This Row],[Vt  adapté(L)]]*Tableau13[[#This Row],[dp associée (cmH2O)]]*Tableau13[[#This Row],[u(RR) (Cycles/min)]])^2)+((0.098*0.5*Tableau13[[#This Row],[Vt  adapté(L)]]*Tableau13[[#This Row],[RR adapté (Cycles/min)]]*Tableau13[[#This Row],[u(dP) (cmH2O)]])^2)))</f>
        <v>0.34743317463441836</v>
      </c>
      <c r="W17" s="64">
        <f ca="1">MAX(OFFSET('INTERVENTION ARM'!$X$1, MATCH($A17, 'INTERVENTION ARM'!$A:$A, 0) - 7, 0, 8))</f>
        <v>0.75</v>
      </c>
      <c r="AB17">
        <v>18</v>
      </c>
    </row>
    <row r="18" spans="1:28" x14ac:dyDescent="0.2">
      <c r="A18" s="54">
        <v>17</v>
      </c>
      <c r="B18" s="51" t="str">
        <f>IFERROR(_xlfn.XLOOKUP($A18, 'INTERVENTION ARM'!$A:$A, 'INTERVENTION ARM'!B:B), "")</f>
        <v>M</v>
      </c>
      <c r="C18" s="51">
        <f>IFERROR(_xlfn.XLOOKUP($A18, 'INTERVENTION ARM'!$A:$A, 'INTERVENTION ARM'!C:C), "")</f>
        <v>60</v>
      </c>
      <c r="D18" s="51">
        <f>IFERROR(_xlfn.XLOOKUP($A18, 'INTERVENTION ARM'!$A:$A, 'INTERVENTION ARM'!D:D), "")</f>
        <v>175</v>
      </c>
      <c r="E18" s="51">
        <f>IFERROR(_xlfn.XLOOKUP($A18, 'INTERVENTION ARM'!$A:$A, 'INTERVENTION ARM'!E:E), "")</f>
        <v>107</v>
      </c>
      <c r="F18" s="55">
        <f>IFERROR(_xlfn.XLOOKUP($A18, 'INTERVENTION ARM'!$A:$A, 'INTERVENTION ARM'!F:F), "")</f>
        <v>70.566000000000003</v>
      </c>
      <c r="G18" s="55">
        <f>IFERROR(_xlfn.XLOOKUP($A18, 'INTERVENTION ARM'!$A:$A, 'INTERVENTION ARM'!H:H), "")</f>
        <v>34.938775510204081</v>
      </c>
      <c r="H18" s="51" cm="1">
        <f t="array" aca="1" ref="H18" ca="1">_xlfn.XLOOKUP(P18, OFFSET('INTERVENTION ARM'!$U$1, MATCH($A18, 'INTERVENTION ARM'!$A:$A, 0) - 7, 0, 6), OFFSET('INTERVENTION ARM'!$Q$1, MATCH($A18, 'INTERVENTION ARM'!$A:$A, 0) - 7, 0, 6), "Non trouvé", 0, -1)</f>
        <v>11</v>
      </c>
      <c r="I18" s="51" cm="1">
        <f t="array" aca="1" ref="I18" ca="1">_xlfn.XLOOKUP(P18, OFFSET('INTERVENTION ARM'!$U$1, MATCH($A18, 'INTERVENTION ARM'!$A:$A, 0) - 7, 0, 6), OFFSET('INTERVENTION ARM'!$T$1, MATCH($A18, 'INTERVENTION ARM'!$A:$A, 0) - 7, 0, 6), "Non trouvé", 0, -1)</f>
        <v>17</v>
      </c>
      <c r="J18" s="55" cm="1">
        <f t="array" aca="1" ref="J18" ca="1">_xlfn.XLOOKUP(P18, OFFSET('INTERVENTION ARM'!$U$1, MATCH($A18, 'INTERVENTION ARM'!$A:$A, 0) - 7, 0, 6), OFFSET('INTERVENTION ARM'!$R$1, MATCH($A18, 'INTERVENTION ARM'!$A:$A, 0) - 7, 0, 6), "Non trouvé", 0, -1)</f>
        <v>6</v>
      </c>
      <c r="K18" s="55">
        <f ca="1">ROUNDUP(SQRT((Tableau13[[#This Row],[Pplat (cmH2O)]]*0.04)^2+(Tableau13[[#This Row],[PEEP adaptée (cmH2O)]]*0.04)^2),1)</f>
        <v>0.9</v>
      </c>
      <c r="L18" s="52">
        <f ca="1">MAX(OFFSET('INTERVENTION ARM'!$J$1, MATCH($A18, 'INTERVENTION ARM'!$A:$A, 0) - 7, 0, 6))</f>
        <v>0.49396200000000001</v>
      </c>
      <c r="M18" s="52">
        <f ca="1">Tableau13[[#This Row],[Vt  adapté(L)]]*0.08</f>
        <v>3.9516960000000004E-2</v>
      </c>
      <c r="N18" s="51">
        <f ca="1">MAX(OFFSET('INTERVENTION ARM'!$M$1, MATCH($A18, 'INTERVENTION ARM'!$A:$A, 0) - 7, 0, 6))</f>
        <v>12</v>
      </c>
      <c r="O18" s="51">
        <f ca="1">Tableau13[[#This Row],[RR adapté (Cycles/min)]]*0.1</f>
        <v>1.2000000000000002</v>
      </c>
      <c r="P18" s="53">
        <f ca="1">IFERROR(MIN(OFFSET('INTERVENTION ARM'!$U$1, MATCH($A18, 'INTERVENTION ARM'!$A:$A, 0) - 7, 0, 6)), "")</f>
        <v>1.7426979359999999</v>
      </c>
      <c r="Q18" s="53">
        <f ca="1">IFERROR(MIN(OFFSET('INTERVENTION ARM'!$U$1, MATCH($A18, 'INTERVENTION ARM'!$A:$A, 0) + 0, 0, 6)), "")</f>
        <v>1.9605351780000002</v>
      </c>
      <c r="R18" s="62">
        <f ca="1">IFERROR(MAX(OFFSET('INTERVENTION ARM'!$Z$1, MATCH($A18, 'INTERVENTION ARM'!$A:$A, 0) - 5, 0, 7)), "")</f>
        <v>1.0327955589886426</v>
      </c>
      <c r="S18" s="62">
        <f ca="1">Tableau13[[#This Row],[u(dP) (cmH2O)]]/(SQRT(6-1))</f>
        <v>0.40249223594996214</v>
      </c>
      <c r="T18" s="62">
        <f ca="1">IFERROR(MAX(OFFSET('INTERVENTION ARM'!$Z$1, MATCH($A18, 'INTERVENTION ARM'!$A:$A, 0) + 2, 0, 7)), "")</f>
        <v>1.2649110640673518</v>
      </c>
      <c r="U18" s="53" t="str">
        <f>IFERROR(_xlfn.XLOOKUP($A18, 'INTERVENTION ARM'!$A:$A, 'INTERVENTION ARM'!AA:AA), "")</f>
        <v>NON</v>
      </c>
      <c r="V18" s="53">
        <f ca="1">SQRT((((0.098*0.5*Tableau13[[#This Row],[RR adapté (Cycles/min)]]*Tableau13[[#This Row],[dp associée (cmH2O)]]*Tableau13[[#This Row],[u(Vt) (L)]])^2)+((0.098*0.5*Tableau13[[#This Row],[Vt  adapté(L)]]*Tableau13[[#This Row],[dp associée (cmH2O)]]*Tableau13[[#This Row],[u(RR) (Cycles/min)]])^2)+((0.098*0.5*Tableau13[[#This Row],[Vt  adapté(L)]]*Tableau13[[#This Row],[RR adapté (Cycles/min)]]*Tableau13[[#This Row],[u(dP) (cmH2O)]])^2)))</f>
        <v>0.3437137590201968</v>
      </c>
      <c r="W18" s="65">
        <f ca="1">MAX(OFFSET('INTERVENTION ARM'!$X$1, MATCH($A18, 'INTERVENTION ARM'!$A:$A, 0) - 7, 0, 8))</f>
        <v>0.75</v>
      </c>
      <c r="AB18">
        <v>18</v>
      </c>
    </row>
    <row r="19" spans="1:28" x14ac:dyDescent="0.2">
      <c r="A19" s="56">
        <v>18</v>
      </c>
      <c r="B19" s="48" t="str">
        <f>IFERROR(_xlfn.XLOOKUP($A19, 'INTERVENTION ARM'!$A:$A, 'INTERVENTION ARM'!B:B), "")</f>
        <v>F</v>
      </c>
      <c r="C19" s="48">
        <f>IFERROR(_xlfn.XLOOKUP($A19, 'INTERVENTION ARM'!$A:$A, 'INTERVENTION ARM'!C:C), "")</f>
        <v>78</v>
      </c>
      <c r="D19" s="48">
        <f>IFERROR(_xlfn.XLOOKUP($A19, 'INTERVENTION ARM'!$A:$A, 'INTERVENTION ARM'!D:D), "")</f>
        <v>156</v>
      </c>
      <c r="E19" s="48">
        <f>IFERROR(_xlfn.XLOOKUP($A19, 'INTERVENTION ARM'!$A:$A, 'INTERVENTION ARM'!E:E), "")</f>
        <v>78</v>
      </c>
      <c r="F19" s="57">
        <f>IFERROR(_xlfn.XLOOKUP($A19, 'INTERVENTION ARM'!$A:$A, 'INTERVENTION ARM'!F:F), "")</f>
        <v>48.775999999999996</v>
      </c>
      <c r="G19" s="57">
        <f>IFERROR(_xlfn.XLOOKUP($A19, 'INTERVENTION ARM'!$A:$A, 'INTERVENTION ARM'!H:H), "")</f>
        <v>32.051282051282051</v>
      </c>
      <c r="H19" s="48" cm="1">
        <f t="array" aca="1" ref="H19" ca="1">_xlfn.XLOOKUP(P19, OFFSET('INTERVENTION ARM'!$U$1, MATCH($A19, 'INTERVENTION ARM'!$A:$A, 0) - 7, 0, 6), OFFSET('INTERVENTION ARM'!$Q$1, MATCH($A19, 'INTERVENTION ARM'!$A:$A, 0) - 7, 0, 6), "Non trouvé", 0, -1)</f>
        <v>5</v>
      </c>
      <c r="I19" s="48" cm="1">
        <f t="array" aca="1" ref="I19" ca="1">_xlfn.XLOOKUP(P19, OFFSET('INTERVENTION ARM'!$U$1, MATCH($A19, 'INTERVENTION ARM'!$A:$A, 0) - 7, 0, 6), OFFSET('INTERVENTION ARM'!$T$1, MATCH($A19, 'INTERVENTION ARM'!$A:$A, 0) - 7, 0, 6), "Non trouvé", 0, -1)</f>
        <v>16</v>
      </c>
      <c r="J19" s="57" cm="1">
        <f t="array" aca="1" ref="J19" ca="1">_xlfn.XLOOKUP(P19, OFFSET('INTERVENTION ARM'!$U$1, MATCH($A19, 'INTERVENTION ARM'!$A:$A, 0) - 7, 0, 6), OFFSET('INTERVENTION ARM'!$R$1, MATCH($A19, 'INTERVENTION ARM'!$A:$A, 0) - 7, 0, 6), "Non trouvé", 0, -1)</f>
        <v>11</v>
      </c>
      <c r="K19" s="57">
        <f ca="1">ROUNDUP(SQRT((Tableau13[[#This Row],[Pplat (cmH2O)]]*0.04)^2+(Tableau13[[#This Row],[PEEP adaptée (cmH2O)]]*0.04)^2),1)</f>
        <v>0.7</v>
      </c>
      <c r="L19" s="49">
        <f ca="1">MAX(OFFSET('INTERVENTION ARM'!$J$1, MATCH($A19, 'INTERVENTION ARM'!$A:$A, 0) - 7, 0, 6))</f>
        <v>0.34143199999999996</v>
      </c>
      <c r="M19" s="49">
        <f ca="1">Tableau13[[#This Row],[Vt  adapté(L)]]*0.08</f>
        <v>2.7314559999999998E-2</v>
      </c>
      <c r="N19" s="48">
        <f ca="1">MAX(OFFSET('INTERVENTION ARM'!$M$1, MATCH($A19, 'INTERVENTION ARM'!$A:$A, 0) - 7, 0, 6))</f>
        <v>15</v>
      </c>
      <c r="O19" s="48">
        <f ca="1">Tableau13[[#This Row],[RR adapté (Cycles/min)]]*0.1</f>
        <v>1.5</v>
      </c>
      <c r="P19" s="50">
        <f ca="1">IFERROR(MIN(OFFSET('INTERVENTION ARM'!$U$1, MATCH($A19, 'INTERVENTION ARM'!$A:$A, 0) - 7, 0, 6)), "")</f>
        <v>2.7604777199999999</v>
      </c>
      <c r="Q19" s="50">
        <f ca="1">IFERROR(MIN(OFFSET('INTERVENTION ARM'!$U$1, MATCH($A19, 'INTERVENTION ARM'!$A:$A, 0) + 0, 0, 6)), "")</f>
        <v>3.0974711039999998</v>
      </c>
      <c r="R19" s="61">
        <f ca="1">IFERROR(MAX(OFFSET('INTERVENTION ARM'!$Z$1, MATCH($A19, 'INTERVENTION ARM'!$A:$A, 0) - 5, 0, 7)), "")</f>
        <v>0.51639777949432231</v>
      </c>
      <c r="S19" s="61">
        <f ca="1">Tableau13[[#This Row],[u(dP) (cmH2O)]]/(SQRT(6-1))</f>
        <v>0.31304951684997051</v>
      </c>
      <c r="T19" s="50">
        <f ca="1">IFERROR(MAX(OFFSET('INTERVENTION ARM'!$Z$1, MATCH($A19, 'INTERVENTION ARM'!$A:$A, 0) + 2, 0, 7)), "")</f>
        <v>0.54772255750516607</v>
      </c>
      <c r="U19" s="50" t="str">
        <f>IFERROR(_xlfn.XLOOKUP($A19, 'INTERVENTION ARM'!$A:$A, 'INTERVENTION ARM'!AA:AA), "")</f>
        <v>oui</v>
      </c>
      <c r="V19" s="50">
        <f ca="1">SQRT((((0.098*0.5*Tableau13[[#This Row],[RR adapté (Cycles/min)]]*Tableau13[[#This Row],[dp associée (cmH2O)]]*Tableau13[[#This Row],[u(Vt) (L)]])^2)+((0.098*0.5*Tableau13[[#This Row],[Vt  adapté(L)]]*Tableau13[[#This Row],[dp associée (cmH2O)]]*Tableau13[[#This Row],[u(RR) (Cycles/min)]])^2)+((0.098*0.5*Tableau13[[#This Row],[Vt  adapté(L)]]*Tableau13[[#This Row],[RR adapté (Cycles/min)]]*Tableau13[[#This Row],[u(dP) (cmH2O)]])^2)))</f>
        <v>0.39475397750135544</v>
      </c>
      <c r="W19" s="64">
        <f ca="1">MAX(OFFSET('INTERVENTION ARM'!$X$1, MATCH($A19, 'INTERVENTION ARM'!$A:$A, 0) - 7, 0, 8))</f>
        <v>0.54166666666666663</v>
      </c>
      <c r="AB19">
        <v>13</v>
      </c>
    </row>
    <row r="20" spans="1:28" x14ac:dyDescent="0.2">
      <c r="A20" s="54">
        <v>19</v>
      </c>
      <c r="B20" s="51" t="str">
        <f>IFERROR(_xlfn.XLOOKUP($A20, 'INTERVENTION ARM'!$A:$A, 'INTERVENTION ARM'!B:B), "")</f>
        <v>F</v>
      </c>
      <c r="C20" s="51">
        <f>IFERROR(_xlfn.XLOOKUP($A20, 'INTERVENTION ARM'!$A:$A, 'INTERVENTION ARM'!C:C), "")</f>
        <v>58</v>
      </c>
      <c r="D20" s="51">
        <f>IFERROR(_xlfn.XLOOKUP($A20, 'INTERVENTION ARM'!$A:$A, 'INTERVENTION ARM'!D:D), "")</f>
        <v>163</v>
      </c>
      <c r="E20" s="51">
        <f>IFERROR(_xlfn.XLOOKUP($A20, 'INTERVENTION ARM'!$A:$A, 'INTERVENTION ARM'!E:E), "")</f>
        <v>88</v>
      </c>
      <c r="F20" s="55">
        <f>IFERROR(_xlfn.XLOOKUP($A20, 'INTERVENTION ARM'!$A:$A, 'INTERVENTION ARM'!F:F), "")</f>
        <v>55.145999999999994</v>
      </c>
      <c r="G20" s="55">
        <f>IFERROR(_xlfn.XLOOKUP($A20, 'INTERVENTION ARM'!$A:$A, 'INTERVENTION ARM'!H:H), "")</f>
        <v>33.1213067861041</v>
      </c>
      <c r="H20" s="51" cm="1">
        <f t="array" aca="1" ref="H20" ca="1">_xlfn.XLOOKUP(P20, OFFSET('INTERVENTION ARM'!$U$1, MATCH($A20, 'INTERVENTION ARM'!$A:$A, 0) - 7, 0, 6), OFFSET('INTERVENTION ARM'!$Q$1, MATCH($A20, 'INTERVENTION ARM'!$A:$A, 0) - 7, 0, 6), "Non trouvé", 0, -1)</f>
        <v>7</v>
      </c>
      <c r="I20" s="51" cm="1">
        <f t="array" aca="1" ref="I20" ca="1">_xlfn.XLOOKUP(P20, OFFSET('INTERVENTION ARM'!$U$1, MATCH($A20, 'INTERVENTION ARM'!$A:$A, 0) - 7, 0, 6), OFFSET('INTERVENTION ARM'!$T$1, MATCH($A20, 'INTERVENTION ARM'!$A:$A, 0) - 7, 0, 6), "Non trouvé", 0, -1)</f>
        <v>15</v>
      </c>
      <c r="J20" s="55" cm="1">
        <f t="array" aca="1" ref="J20" ca="1">_xlfn.XLOOKUP(P20, OFFSET('INTERVENTION ARM'!$U$1, MATCH($A20, 'INTERVENTION ARM'!$A:$A, 0) - 7, 0, 6), OFFSET('INTERVENTION ARM'!$R$1, MATCH($A20, 'INTERVENTION ARM'!$A:$A, 0) - 7, 0, 6), "Non trouvé", 0, -1)</f>
        <v>8</v>
      </c>
      <c r="K20" s="55">
        <f ca="1">ROUNDUP(SQRT((Tableau13[[#This Row],[Pplat (cmH2O)]]*0.04)^2+(Tableau13[[#This Row],[PEEP adaptée (cmH2O)]]*0.04)^2),1)</f>
        <v>0.7</v>
      </c>
      <c r="L20" s="52">
        <f ca="1">MAX(OFFSET('INTERVENTION ARM'!$J$1, MATCH($A20, 'INTERVENTION ARM'!$A:$A, 0) - 7, 0, 6))</f>
        <v>0.38602199999999992</v>
      </c>
      <c r="M20" s="52">
        <f ca="1">Tableau13[[#This Row],[Vt  adapté(L)]]*0.08</f>
        <v>3.0881759999999994E-2</v>
      </c>
      <c r="N20" s="51">
        <f ca="1">MAX(OFFSET('INTERVENTION ARM'!$M$1, MATCH($A20, 'INTERVENTION ARM'!$A:$A, 0) - 7, 0, 6))</f>
        <v>13</v>
      </c>
      <c r="O20" s="51">
        <f ca="1">Tableau13[[#This Row],[RR adapté (Cycles/min)]]*0.1</f>
        <v>1.3</v>
      </c>
      <c r="P20" s="53">
        <f ca="1">IFERROR(MIN(OFFSET('INTERVENTION ARM'!$U$1, MATCH($A20, 'INTERVENTION ARM'!$A:$A, 0) - 7, 0, 6)), "")</f>
        <v>1.9671681119999997</v>
      </c>
      <c r="Q20" s="53">
        <f ca="1">IFERROR(MIN(OFFSET('INTERVENTION ARM'!$U$1, MATCH($A20, 'INTERVENTION ARM'!$A:$A, 0) + 0, 0, 6)), "")</f>
        <v>2.1887447399999997</v>
      </c>
      <c r="R20" s="62">
        <f ca="1">IFERROR(MAX(OFFSET('INTERVENTION ARM'!$Z$1, MATCH($A20, 'INTERVENTION ARM'!$A:$A, 0) - 5, 0, 7)), "")</f>
        <v>0.81649658092772603</v>
      </c>
      <c r="S20" s="62">
        <f ca="1">Tableau13[[#This Row],[u(dP) (cmH2O)]]/(SQRT(6-1))</f>
        <v>0.31304951684997051</v>
      </c>
      <c r="T20" s="53">
        <f ca="1">IFERROR(MAX(OFFSET('INTERVENTION ARM'!$Z$1, MATCH($A20, 'INTERVENTION ARM'!$A:$A, 0) + 2, 0, 7)), "")</f>
        <v>1.9407902170679536</v>
      </c>
      <c r="U20" s="53" t="str">
        <f>IFERROR(_xlfn.XLOOKUP($A20, 'INTERVENTION ARM'!$A:$A, 'INTERVENTION ARM'!AA:AA), "")</f>
        <v>NON</v>
      </c>
      <c r="V20" s="53">
        <f ca="1">SQRT((((0.098*0.5*Tableau13[[#This Row],[RR adapté (Cycles/min)]]*Tableau13[[#This Row],[dp associée (cmH2O)]]*Tableau13[[#This Row],[u(Vt) (L)]])^2)+((0.098*0.5*Tableau13[[#This Row],[Vt  adapté(L)]]*Tableau13[[#This Row],[dp associée (cmH2O)]]*Tableau13[[#This Row],[u(RR) (Cycles/min)]])^2)+((0.098*0.5*Tableau13[[#This Row],[Vt  adapté(L)]]*Tableau13[[#This Row],[RR adapté (Cycles/min)]]*Tableau13[[#This Row],[u(dP) (cmH2O)]])^2)))</f>
        <v>0.30510929615433768</v>
      </c>
      <c r="W20" s="65">
        <f ca="1">MAX(OFFSET('INTERVENTION ARM'!$X$1, MATCH($A20, 'INTERVENTION ARM'!$A:$A, 0) - 7, 0, 8))</f>
        <v>0.76388888888888884</v>
      </c>
      <c r="AB20">
        <v>18</v>
      </c>
    </row>
    <row r="21" spans="1:28" x14ac:dyDescent="0.2">
      <c r="A21" s="54">
        <v>20</v>
      </c>
      <c r="B21" s="51" t="str">
        <f>IFERROR(_xlfn.XLOOKUP($A21, 'INTERVENTION ARM'!$A:$A, 'INTERVENTION ARM'!B:B), "")</f>
        <v>F</v>
      </c>
      <c r="C21" s="51">
        <f>IFERROR(_xlfn.XLOOKUP($A21, 'INTERVENTION ARM'!$A:$A, 'INTERVENTION ARM'!C:C), "")</f>
        <v>60</v>
      </c>
      <c r="D21" s="51">
        <f>IFERROR(_xlfn.XLOOKUP($A21, 'INTERVENTION ARM'!$A:$A, 'INTERVENTION ARM'!D:D), "")</f>
        <v>159</v>
      </c>
      <c r="E21" s="51">
        <f>IFERROR(_xlfn.XLOOKUP($A21, 'INTERVENTION ARM'!$A:$A, 'INTERVENTION ARM'!E:E), "")</f>
        <v>35</v>
      </c>
      <c r="F21" s="55">
        <f>IFERROR(_xlfn.XLOOKUP($A21, 'INTERVENTION ARM'!$A:$A, 'INTERVENTION ARM'!F:F), "")</f>
        <v>51.505999999999993</v>
      </c>
      <c r="G21" s="55">
        <f>IFERROR(_xlfn.XLOOKUP($A21, 'INTERVENTION ARM'!$A:$A, 'INTERVENTION ARM'!H:H), "")</f>
        <v>13.844389066888176</v>
      </c>
      <c r="H21" s="51" cm="1">
        <f t="array" aca="1" ref="H21" ca="1">_xlfn.XLOOKUP(P21, OFFSET('INTERVENTION ARM'!$U$1, MATCH($A21, 'INTERVENTION ARM'!$A:$A, 0) - 7, 0, 6), OFFSET('INTERVENTION ARM'!$Q$1, MATCH($A21, 'INTERVENTION ARM'!$A:$A, 0) - 7, 0, 6), "Non trouvé", 0, -1)</f>
        <v>5</v>
      </c>
      <c r="I21" s="51" cm="1">
        <f t="array" aca="1" ref="I21" ca="1">_xlfn.XLOOKUP(P21, OFFSET('INTERVENTION ARM'!$U$1, MATCH($A21, 'INTERVENTION ARM'!$A:$A, 0) - 7, 0, 6), OFFSET('INTERVENTION ARM'!$T$1, MATCH($A21, 'INTERVENTION ARM'!$A:$A, 0) - 7, 0, 6), "Non trouvé", 0, -1)</f>
        <v>14</v>
      </c>
      <c r="J21" s="55" cm="1">
        <f t="array" aca="1" ref="J21" ca="1">_xlfn.XLOOKUP(P21, OFFSET('INTERVENTION ARM'!$U$1, MATCH($A21, 'INTERVENTION ARM'!$A:$A, 0) - 7, 0, 6), OFFSET('INTERVENTION ARM'!$R$1, MATCH($A21, 'INTERVENTION ARM'!$A:$A, 0) - 7, 0, 6), "Non trouvé", 0, -1)</f>
        <v>9</v>
      </c>
      <c r="K21" s="55">
        <f ca="1">ROUNDUP(SQRT((Tableau13[[#This Row],[Pplat (cmH2O)]]*0.04)^2+(Tableau13[[#This Row],[PEEP adaptée (cmH2O)]]*0.04)^2),1)</f>
        <v>0.6</v>
      </c>
      <c r="L21" s="52">
        <f ca="1">MAX(OFFSET('INTERVENTION ARM'!$J$1, MATCH($A21, 'INTERVENTION ARM'!$A:$A, 0) - 7, 0, 6))</f>
        <v>0.36054199999999997</v>
      </c>
      <c r="M21" s="52">
        <f ca="1">Tableau13[[#This Row],[Vt  adapté(L)]]*0.08</f>
        <v>2.8843359999999998E-2</v>
      </c>
      <c r="N21" s="51">
        <f ca="1">MAX(OFFSET('INTERVENTION ARM'!$M$1, MATCH($A21, 'INTERVENTION ARM'!$A:$A, 0) - 7, 0, 6))</f>
        <v>12</v>
      </c>
      <c r="O21" s="51">
        <f ca="1">Tableau13[[#This Row],[RR adapté (Cycles/min)]]*0.1</f>
        <v>1.2000000000000002</v>
      </c>
      <c r="P21" s="53">
        <f ca="1">IFERROR(MIN(OFFSET('INTERVENTION ARM'!$U$1, MATCH($A21, 'INTERVENTION ARM'!$A:$A, 0) - 7, 0, 6)), "")</f>
        <v>1.9079882639999999</v>
      </c>
      <c r="Q21" s="53">
        <f ca="1">IFERROR(MIN(OFFSET('INTERVENTION ARM'!$U$1, MATCH($A21, 'INTERVENTION ARM'!$A:$A, 0) + 0, 0, 6)), "")</f>
        <v>3.01</v>
      </c>
      <c r="R21" s="62">
        <f ca="1">IFERROR(MAX(OFFSET('INTERVENTION ARM'!$Z$1, MATCH($A21, 'INTERVENTION ARM'!$A:$A, 0) - 5, 0, 7)), "")</f>
        <v>1.966384160500352</v>
      </c>
      <c r="S21" s="62">
        <f ca="1">Tableau13[[#This Row],[u(dP) (cmH2O)]]/(SQRT(6-1))</f>
        <v>0.26832815729997472</v>
      </c>
      <c r="T21" s="53">
        <f ca="1">IFERROR(MAX(OFFSET('INTERVENTION ARM'!$Z$1, MATCH($A21, 'INTERVENTION ARM'!$A:$A, 0) + 2, 0, 7)), "")</f>
        <v>3.7416573867739413</v>
      </c>
      <c r="U21" s="53" t="str">
        <f>IFERROR(_xlfn.XLOOKUP($A21, 'INTERVENTION ARM'!$A:$A, 'INTERVENTION ARM'!AA:AA), "")</f>
        <v>Oui</v>
      </c>
      <c r="V21" s="53">
        <f ca="1">SQRT((((0.098*0.5*Tableau13[[#This Row],[RR adapté (Cycles/min)]]*Tableau13[[#This Row],[dp associée (cmH2O)]]*Tableau13[[#This Row],[u(Vt) (L)]])^2)+((0.098*0.5*Tableau13[[#This Row],[Vt  adapté(L)]]*Tableau13[[#This Row],[dp associée (cmH2O)]]*Tableau13[[#This Row],[u(RR) (Cycles/min)]])^2)+((0.098*0.5*Tableau13[[#This Row],[Vt  adapté(L)]]*Tableau13[[#This Row],[RR adapté (Cycles/min)]]*Tableau13[[#This Row],[u(dP) (cmH2O)]])^2)))</f>
        <v>0.2754678131710937</v>
      </c>
      <c r="W21" s="65">
        <f ca="1">MAX(OFFSET('INTERVENTION ARM'!$X$1, MATCH($A21, 'INTERVENTION ARM'!$A:$A, 0) - 7, 0, 8))</f>
        <v>0.41666666666666669</v>
      </c>
      <c r="AB21">
        <v>10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67c313fc-3764-4c09-a4a1-81f35edcef53}" enabled="0" method="" siteId="{67c313fc-3764-4c09-a4a1-81f35edcef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INTERVENTION ARM</vt:lpstr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Barriere</dc:creator>
  <cp:lastModifiedBy>Hugo Barriere</cp:lastModifiedBy>
  <cp:lastPrinted>2026-05-11T08:08:45Z</cp:lastPrinted>
  <dcterms:created xsi:type="dcterms:W3CDTF">2026-04-30T08:33:26Z</dcterms:created>
  <dcterms:modified xsi:type="dcterms:W3CDTF">2026-06-11T11:41:42Z</dcterms:modified>
</cp:coreProperties>
</file>